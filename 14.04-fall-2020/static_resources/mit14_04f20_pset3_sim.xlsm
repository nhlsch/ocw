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AFA277B2-9F3A-2204-9086-A6A6A873D73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heryl Siegel\Desktop\14.04\psets\psets_final\"/>
    </mc:Choice>
  </mc:AlternateContent>
  <bookViews>
    <workbookView xWindow="0" yWindow="0" windowWidth="20490" windowHeight="7620" activeTab="1"/>
  </bookViews>
  <sheets>
    <sheet name="Question 1" sheetId="1" r:id="rId1"/>
    <sheet name="Question 2" sheetId="3" r:id="rId2"/>
    <sheet name="Question 3" sheetId="2" r:id="rId3"/>
    <sheet name="Question 4" sheetId="5" r:id="rId4"/>
  </sheet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4" i="5" l="1"/>
  <c r="M4" i="5"/>
  <c r="L5" i="5"/>
  <c r="M5" i="5"/>
  <c r="L6" i="5"/>
  <c r="M6" i="5"/>
  <c r="L7" i="5"/>
  <c r="M7" i="5"/>
  <c r="L8" i="5"/>
  <c r="M8" i="5"/>
  <c r="L9" i="5"/>
  <c r="M9" i="5"/>
  <c r="L10" i="5"/>
  <c r="M10" i="5"/>
  <c r="L11" i="5"/>
  <c r="M11" i="5"/>
  <c r="L12" i="5"/>
  <c r="M12" i="5"/>
  <c r="L13" i="5"/>
  <c r="M13" i="5"/>
  <c r="L14" i="5"/>
  <c r="M14" i="5"/>
  <c r="L15" i="5"/>
  <c r="M15" i="5"/>
  <c r="L16" i="5"/>
  <c r="M16" i="5"/>
  <c r="L17" i="5"/>
  <c r="M17" i="5"/>
  <c r="L18" i="5"/>
  <c r="M18" i="5"/>
  <c r="L19" i="5"/>
  <c r="M19" i="5"/>
  <c r="L20" i="5"/>
  <c r="M20" i="5"/>
  <c r="L21" i="5"/>
  <c r="M21" i="5"/>
  <c r="L22" i="5"/>
  <c r="M22" i="5"/>
  <c r="L23" i="5"/>
  <c r="M23" i="5"/>
  <c r="L24" i="5"/>
  <c r="M24" i="5"/>
  <c r="L25" i="5"/>
  <c r="M25" i="5"/>
  <c r="L26" i="5"/>
  <c r="M26" i="5"/>
  <c r="L27" i="5"/>
  <c r="M27" i="5"/>
  <c r="L28" i="5"/>
  <c r="M28" i="5"/>
  <c r="L29" i="5"/>
  <c r="M29" i="5"/>
  <c r="L30" i="5"/>
  <c r="M30" i="5"/>
  <c r="L31" i="5"/>
  <c r="M31" i="5"/>
  <c r="L32" i="5"/>
  <c r="M32" i="5"/>
  <c r="M3" i="5"/>
  <c r="O3" i="5"/>
  <c r="L3" i="5"/>
  <c r="L4" i="2"/>
  <c r="M4" i="2"/>
  <c r="L5" i="2"/>
  <c r="M5" i="2"/>
  <c r="L6" i="2"/>
  <c r="M6" i="2"/>
  <c r="L7" i="2"/>
  <c r="M7" i="2"/>
  <c r="L8" i="2"/>
  <c r="M8" i="2"/>
  <c r="L9" i="2"/>
  <c r="M9" i="2"/>
  <c r="L10" i="2"/>
  <c r="M10" i="2"/>
  <c r="L11" i="2"/>
  <c r="M11" i="2"/>
  <c r="L12" i="2"/>
  <c r="M12" i="2"/>
  <c r="L13" i="2"/>
  <c r="M13" i="2"/>
  <c r="L14" i="2"/>
  <c r="M14" i="2"/>
  <c r="L15" i="2"/>
  <c r="M15" i="2"/>
  <c r="L16" i="2"/>
  <c r="M16" i="2"/>
  <c r="L17" i="2"/>
  <c r="M17" i="2"/>
  <c r="L18" i="2"/>
  <c r="M18" i="2"/>
  <c r="L19" i="2"/>
  <c r="M19" i="2"/>
  <c r="L20" i="2"/>
  <c r="M20" i="2"/>
  <c r="L21" i="2"/>
  <c r="M21" i="2"/>
  <c r="L22" i="2"/>
  <c r="M22" i="2"/>
  <c r="L23" i="2"/>
  <c r="M23" i="2"/>
  <c r="L24" i="2"/>
  <c r="M24" i="2"/>
  <c r="L25" i="2"/>
  <c r="M25" i="2"/>
  <c r="L26" i="2"/>
  <c r="M26" i="2"/>
  <c r="L27" i="2"/>
  <c r="M27" i="2"/>
  <c r="L28" i="2"/>
  <c r="M28" i="2"/>
  <c r="L29" i="2"/>
  <c r="M29" i="2"/>
  <c r="L30" i="2"/>
  <c r="M30" i="2"/>
  <c r="L31" i="2"/>
  <c r="M31" i="2"/>
  <c r="L32" i="2"/>
  <c r="M32" i="2"/>
  <c r="M3" i="2"/>
  <c r="O3" i="2"/>
  <c r="L3" i="2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" i="3"/>
  <c r="R30" i="3" l="1"/>
  <c r="N32" i="3"/>
  <c r="L32" i="3"/>
  <c r="K32" i="3"/>
  <c r="H32" i="3"/>
  <c r="N31" i="3"/>
  <c r="L31" i="3"/>
  <c r="K31" i="3"/>
  <c r="H31" i="3"/>
  <c r="N30" i="3"/>
  <c r="L30" i="3"/>
  <c r="K30" i="3"/>
  <c r="H30" i="3"/>
  <c r="N29" i="3"/>
  <c r="L29" i="3"/>
  <c r="K29" i="3"/>
  <c r="H29" i="3"/>
  <c r="N28" i="3"/>
  <c r="L28" i="3"/>
  <c r="K28" i="3"/>
  <c r="H28" i="3"/>
  <c r="N27" i="3"/>
  <c r="L27" i="3"/>
  <c r="K27" i="3"/>
  <c r="H27" i="3"/>
  <c r="N26" i="3"/>
  <c r="L26" i="3"/>
  <c r="K26" i="3"/>
  <c r="H26" i="3"/>
  <c r="N25" i="3"/>
  <c r="L25" i="3"/>
  <c r="K25" i="3"/>
  <c r="H25" i="3"/>
  <c r="N24" i="3"/>
  <c r="L24" i="3"/>
  <c r="K24" i="3"/>
  <c r="H24" i="3"/>
  <c r="N23" i="3"/>
  <c r="L23" i="3"/>
  <c r="K23" i="3"/>
  <c r="H23" i="3"/>
  <c r="N22" i="3"/>
  <c r="L22" i="3"/>
  <c r="K22" i="3"/>
  <c r="H22" i="3"/>
  <c r="N21" i="3"/>
  <c r="L21" i="3"/>
  <c r="K21" i="3"/>
  <c r="H21" i="3"/>
  <c r="N20" i="3"/>
  <c r="L20" i="3"/>
  <c r="K20" i="3"/>
  <c r="H20" i="3"/>
  <c r="N19" i="3"/>
  <c r="L19" i="3"/>
  <c r="K19" i="3"/>
  <c r="H19" i="3"/>
  <c r="N18" i="3"/>
  <c r="L18" i="3"/>
  <c r="K18" i="3"/>
  <c r="H18" i="3"/>
  <c r="N17" i="3"/>
  <c r="L17" i="3"/>
  <c r="K17" i="3"/>
  <c r="H17" i="3"/>
  <c r="N16" i="3"/>
  <c r="L16" i="3"/>
  <c r="K16" i="3"/>
  <c r="H16" i="3"/>
  <c r="N15" i="3"/>
  <c r="L15" i="3"/>
  <c r="K15" i="3"/>
  <c r="H15" i="3"/>
  <c r="N14" i="3"/>
  <c r="L14" i="3"/>
  <c r="K14" i="3"/>
  <c r="H14" i="3"/>
  <c r="N13" i="3"/>
  <c r="L13" i="3"/>
  <c r="K13" i="3"/>
  <c r="H13" i="3"/>
  <c r="N12" i="3"/>
  <c r="L12" i="3"/>
  <c r="K12" i="3"/>
  <c r="H12" i="3"/>
  <c r="N11" i="3"/>
  <c r="L11" i="3"/>
  <c r="K11" i="3"/>
  <c r="H11" i="3"/>
  <c r="N10" i="3"/>
  <c r="L10" i="3"/>
  <c r="K10" i="3"/>
  <c r="H10" i="3"/>
  <c r="N9" i="3"/>
  <c r="L9" i="3"/>
  <c r="K9" i="3"/>
  <c r="H9" i="3"/>
  <c r="N8" i="3"/>
  <c r="L8" i="3"/>
  <c r="K8" i="3"/>
  <c r="H8" i="3"/>
  <c r="N7" i="3"/>
  <c r="L7" i="3"/>
  <c r="K7" i="3"/>
  <c r="H7" i="3"/>
  <c r="N6" i="3"/>
  <c r="L6" i="3"/>
  <c r="K6" i="3"/>
  <c r="H6" i="3"/>
  <c r="N5" i="3"/>
  <c r="L5" i="3"/>
  <c r="K5" i="3"/>
  <c r="H5" i="3"/>
  <c r="N4" i="3"/>
  <c r="L4" i="3"/>
  <c r="K4" i="3"/>
  <c r="H4" i="3"/>
  <c r="N3" i="3"/>
  <c r="L3" i="3"/>
  <c r="K3" i="3"/>
  <c r="H3" i="3"/>
  <c r="K4" i="1"/>
  <c r="L4" i="1"/>
  <c r="K5" i="1"/>
  <c r="L5" i="1"/>
  <c r="K6" i="1"/>
  <c r="L6" i="1"/>
  <c r="K7" i="1"/>
  <c r="L7" i="1"/>
  <c r="K8" i="1"/>
  <c r="L8" i="1"/>
  <c r="K9" i="1"/>
  <c r="L9" i="1"/>
  <c r="K10" i="1"/>
  <c r="L10" i="1"/>
  <c r="K11" i="1"/>
  <c r="L11" i="1"/>
  <c r="K12" i="1"/>
  <c r="L12" i="1"/>
  <c r="K13" i="1"/>
  <c r="L13" i="1"/>
  <c r="K14" i="1"/>
  <c r="L14" i="1"/>
  <c r="K15" i="1"/>
  <c r="L15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K25" i="1"/>
  <c r="L25" i="1"/>
  <c r="K26" i="1"/>
  <c r="L26" i="1"/>
  <c r="K27" i="1"/>
  <c r="L27" i="1"/>
  <c r="K28" i="1"/>
  <c r="L28" i="1"/>
  <c r="K29" i="1"/>
  <c r="L29" i="1"/>
  <c r="K30" i="1"/>
  <c r="L30" i="1"/>
  <c r="K31" i="1"/>
  <c r="L31" i="1"/>
  <c r="K32" i="1"/>
  <c r="L32" i="1"/>
  <c r="L3" i="1"/>
  <c r="N3" i="1"/>
  <c r="K3" i="1"/>
  <c r="R31" i="3" l="1"/>
  <c r="S31" i="3"/>
  <c r="S30" i="3"/>
  <c r="T31" i="3"/>
  <c r="U31" i="3" l="1"/>
  <c r="T30" i="1"/>
  <c r="U33" i="5"/>
  <c r="T33" i="5"/>
  <c r="U32" i="5"/>
  <c r="U33" i="2"/>
  <c r="U32" i="2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N4" i="5"/>
  <c r="N5" i="5"/>
  <c r="N6" i="5"/>
  <c r="N3" i="5"/>
  <c r="N28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9" i="5"/>
  <c r="N30" i="5"/>
  <c r="N31" i="5"/>
  <c r="N32" i="5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N26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7" i="2"/>
  <c r="N28" i="2"/>
  <c r="N29" i="2"/>
  <c r="N30" i="2"/>
  <c r="N31" i="2"/>
  <c r="N32" i="2"/>
  <c r="N3" i="2"/>
  <c r="S26" i="5"/>
  <c r="S23" i="5"/>
  <c r="T32" i="5"/>
  <c r="I32" i="5"/>
  <c r="H32" i="5"/>
  <c r="I31" i="5"/>
  <c r="H31" i="5"/>
  <c r="I30" i="5"/>
  <c r="H30" i="5"/>
  <c r="I29" i="5"/>
  <c r="H29" i="5"/>
  <c r="I28" i="5"/>
  <c r="H28" i="5"/>
  <c r="I27" i="5"/>
  <c r="H27" i="5"/>
  <c r="I26" i="5"/>
  <c r="H26" i="5"/>
  <c r="I25" i="5"/>
  <c r="H25" i="5"/>
  <c r="I24" i="5"/>
  <c r="H24" i="5"/>
  <c r="I23" i="5"/>
  <c r="H23" i="5"/>
  <c r="I22" i="5"/>
  <c r="H22" i="5"/>
  <c r="I21" i="5"/>
  <c r="H21" i="5"/>
  <c r="I20" i="5"/>
  <c r="H20" i="5"/>
  <c r="I19" i="5"/>
  <c r="H19" i="5"/>
  <c r="I18" i="5"/>
  <c r="H18" i="5"/>
  <c r="I17" i="5"/>
  <c r="H17" i="5"/>
  <c r="I16" i="5"/>
  <c r="H16" i="5"/>
  <c r="I15" i="5"/>
  <c r="H15" i="5"/>
  <c r="I14" i="5"/>
  <c r="H14" i="5"/>
  <c r="I13" i="5"/>
  <c r="H13" i="5"/>
  <c r="I12" i="5"/>
  <c r="H12" i="5"/>
  <c r="I11" i="5"/>
  <c r="H11" i="5"/>
  <c r="I10" i="5"/>
  <c r="H10" i="5"/>
  <c r="I9" i="5"/>
  <c r="H9" i="5"/>
  <c r="I8" i="5"/>
  <c r="H8" i="5"/>
  <c r="S21" i="5"/>
  <c r="R21" i="5"/>
  <c r="I7" i="5"/>
  <c r="H7" i="5"/>
  <c r="S20" i="5"/>
  <c r="R20" i="5"/>
  <c r="I6" i="5"/>
  <c r="H6" i="5"/>
  <c r="I5" i="5"/>
  <c r="H5" i="5"/>
  <c r="I4" i="5"/>
  <c r="H4" i="5"/>
  <c r="I3" i="5"/>
  <c r="H3" i="5"/>
  <c r="S25" i="2"/>
  <c r="H17" i="2"/>
  <c r="H18" i="2"/>
  <c r="T33" i="2"/>
  <c r="T32" i="2"/>
  <c r="U30" i="3"/>
  <c r="T30" i="3"/>
  <c r="U31" i="1"/>
  <c r="T31" i="1"/>
  <c r="U30" i="1"/>
  <c r="R21" i="3"/>
  <c r="R20" i="3"/>
  <c r="S23" i="3"/>
  <c r="S21" i="3"/>
  <c r="S20" i="3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S22" i="2"/>
  <c r="I9" i="2"/>
  <c r="I8" i="2"/>
  <c r="S20" i="2"/>
  <c r="R20" i="2"/>
  <c r="I7" i="2"/>
  <c r="S19" i="2"/>
  <c r="R19" i="2"/>
  <c r="I6" i="2"/>
  <c r="I5" i="2"/>
  <c r="I4" i="2"/>
  <c r="I3" i="2"/>
  <c r="S21" i="1"/>
  <c r="R21" i="1"/>
  <c r="S20" i="1"/>
  <c r="R20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S23" i="1"/>
  <c r="G3" i="1"/>
  <c r="S33" i="2" l="1"/>
  <c r="S32" i="2"/>
  <c r="R33" i="2"/>
  <c r="R32" i="2"/>
  <c r="R33" i="5"/>
  <c r="R32" i="5"/>
  <c r="S32" i="5"/>
  <c r="S33" i="5"/>
  <c r="R31" i="1"/>
  <c r="R30" i="1"/>
  <c r="S30" i="1"/>
  <c r="S31" i="1"/>
</calcChain>
</file>

<file path=xl/sharedStrings.xml><?xml version="1.0" encoding="utf-8"?>
<sst xmlns="http://schemas.openxmlformats.org/spreadsheetml/2006/main" count="216" uniqueCount="58">
  <si>
    <t>Time Period</t>
  </si>
  <si>
    <t>AUTARKY</t>
  </si>
  <si>
    <t>CES utility: U(c) = (c^(1-𝜃)-1)/(1-𝜃)</t>
  </si>
  <si>
    <t>𝜃:</t>
  </si>
  <si>
    <t>U(c) ~ ln(c)</t>
  </si>
  <si>
    <t>U(c) ~ c-1</t>
  </si>
  <si>
    <t>High</t>
  </si>
  <si>
    <t>Low</t>
  </si>
  <si>
    <t>State (H=1, L=0)</t>
  </si>
  <si>
    <t>Toggle risk aversion (1=highly risk averse, 0=risk neutral)</t>
  </si>
  <si>
    <t>notes:</t>
  </si>
  <si>
    <t>very averse</t>
  </si>
  <si>
    <t>near neutral</t>
  </si>
  <si>
    <t>PARAMETERS</t>
  </si>
  <si>
    <t>Ridhi parameters</t>
  </si>
  <si>
    <t>Neha parameters</t>
  </si>
  <si>
    <t>Mean U Neha</t>
  </si>
  <si>
    <t>Mean U Ridhi</t>
  </si>
  <si>
    <t>R. SHARING</t>
  </si>
  <si>
    <t>IN 30 PERIOD SIMULATION</t>
  </si>
  <si>
    <t>IN EXPECTATION</t>
  </si>
  <si>
    <t>Endowment Over States</t>
  </si>
  <si>
    <t>Yield Neha</t>
  </si>
  <si>
    <t>Yield Ridhi</t>
  </si>
  <si>
    <t>U Neha Autarky</t>
  </si>
  <si>
    <t>U Ridhi Autarky</t>
  </si>
  <si>
    <t>U Ridhi RS</t>
  </si>
  <si>
    <t>U Neha RS</t>
  </si>
  <si>
    <t>YIELD</t>
  </si>
  <si>
    <t>UTILTY UNDER RISK SHARING</t>
  </si>
  <si>
    <t>UTILITY UNDER AUTARKY</t>
  </si>
  <si>
    <t>yield in L:</t>
  </si>
  <si>
    <t>yield in H:</t>
  </si>
  <si>
    <t>Toggle mean yield in low state</t>
  </si>
  <si>
    <t>Toggle mean yield in high state</t>
  </si>
  <si>
    <t>RESULTS</t>
  </si>
  <si>
    <t>Amount Ridhi gives to Neha in H:</t>
  </si>
  <si>
    <t>(Mean)</t>
  </si>
  <si>
    <t>Neha</t>
  </si>
  <si>
    <t>Ridhi</t>
  </si>
  <si>
    <t>Contents of colored boxes may be freely modified</t>
  </si>
  <si>
    <t>Percent high states</t>
  </si>
  <si>
    <t>in this particular draw:</t>
  </si>
  <si>
    <t>GRAPHS</t>
  </si>
  <si>
    <t>Toggle risk aversion FOR BOTH Ridhi and Neha (1=highly risk averse, 0=risk neutral)</t>
  </si>
  <si>
    <t>IN EXP. with U(x) = ln(x)</t>
  </si>
  <si>
    <t>Ridhi State</t>
  </si>
  <si>
    <t>Neha State (H=1, L=0)</t>
  </si>
  <si>
    <t>Amount Neha gives to Ridhi in L:</t>
  </si>
  <si>
    <t>in Ridhi's draw:</t>
  </si>
  <si>
    <t>in Neha's draw:</t>
  </si>
  <si>
    <t>Amount Neha gives to Ridhi in H:</t>
  </si>
  <si>
    <t>YIELD / CONSUMPTION UNDER AUTARKY</t>
  </si>
  <si>
    <t>C Ridhi</t>
  </si>
  <si>
    <t>C Neha</t>
  </si>
  <si>
    <t>CONSUMPTION / UTILITY UNDER RISK SHARING</t>
  </si>
  <si>
    <t>C Ridhi RS</t>
  </si>
  <si>
    <t>C Neha 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</si>
</sst>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8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8" xfId="0" applyBorder="1"/>
    <xf numFmtId="0" fontId="0" fillId="0" borderId="19" xfId="0" applyBorder="1"/>
    <xf numFmtId="0" fontId="0" fillId="0" borderId="17" xfId="0" applyBorder="1"/>
    <xf numFmtId="0" fontId="0" fillId="0" borderId="20" xfId="0" applyBorder="1"/>
    <xf numFmtId="0" fontId="0" fillId="0" borderId="0" xfId="0" applyFill="1" applyBorder="1"/>
    <xf numFmtId="0" fontId="0" fillId="33" borderId="0" xfId="0" applyFill="1"/>
    <xf numFmtId="0" fontId="0" fillId="34" borderId="0" xfId="0" applyFill="1"/>
    <xf numFmtId="0" fontId="0" fillId="0" borderId="0" xfId="0" applyFill="1"/>
    <xf numFmtId="0" fontId="0" fillId="35" borderId="0" xfId="0" applyFill="1"/>
    <xf numFmtId="2" fontId="0" fillId="0" borderId="0" xfId="0" applyNumberFormat="1"/>
    <xf numFmtId="164" fontId="0" fillId="0" borderId="0" xfId="0" applyNumberFormat="1"/>
    <xf numFmtId="2" fontId="0" fillId="0" borderId="12" xfId="0" applyNumberFormat="1" applyBorder="1"/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0" fillId="0" borderId="16" xfId="0" applyNumberFormat="1" applyBorder="1"/>
    <xf numFmtId="0" fontId="0" fillId="0" borderId="21" xfId="0" applyBorder="1"/>
    <xf numFmtId="164" fontId="0" fillId="0" borderId="14" xfId="0" applyNumberFormat="1" applyBorder="1"/>
    <xf numFmtId="164" fontId="0" fillId="0" borderId="16" xfId="0" applyNumberFormat="1" applyBorder="1"/>
    <xf numFmtId="164" fontId="0" fillId="0" borderId="15" xfId="0" applyNumberFormat="1" applyBorder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Ridhi's</a:t>
            </a:r>
            <a:r>
              <a:rPr lang="en-US" baseline="0"/>
              <a:t> Utility Across Time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'Question 1'!$G$2</c:f>
              <c:strCache>
                <c:ptCount val="1"/>
                <c:pt idx="0">
                  <c:v>U Ridhi Autarky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'Question 1'!$F$3:$F$32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'Question 1'!$G$3:$G$32</c:f>
              <c:numCache>
                <c:formatCode>0.00</c:formatCode>
                <c:ptCount val="30"/>
                <c:pt idx="0">
                  <c:v>2.3052380778996162</c:v>
                </c:pt>
                <c:pt idx="1">
                  <c:v>3.3377624753350124</c:v>
                </c:pt>
                <c:pt idx="2">
                  <c:v>2.3052380778996162</c:v>
                </c:pt>
                <c:pt idx="3">
                  <c:v>3.3377624753350124</c:v>
                </c:pt>
                <c:pt idx="4">
                  <c:v>3.3377624753350124</c:v>
                </c:pt>
                <c:pt idx="5">
                  <c:v>2.3052380778996162</c:v>
                </c:pt>
                <c:pt idx="6">
                  <c:v>3.3377624753350124</c:v>
                </c:pt>
                <c:pt idx="7">
                  <c:v>2.3052380778996162</c:v>
                </c:pt>
                <c:pt idx="8">
                  <c:v>2.3052380778996162</c:v>
                </c:pt>
                <c:pt idx="9">
                  <c:v>3.3377624753350124</c:v>
                </c:pt>
                <c:pt idx="10">
                  <c:v>2.3052380778996162</c:v>
                </c:pt>
                <c:pt idx="11">
                  <c:v>3.3377624753350124</c:v>
                </c:pt>
                <c:pt idx="12">
                  <c:v>3.3377624753350124</c:v>
                </c:pt>
                <c:pt idx="13">
                  <c:v>2.3052380778996162</c:v>
                </c:pt>
                <c:pt idx="14">
                  <c:v>3.3377624753350124</c:v>
                </c:pt>
                <c:pt idx="15">
                  <c:v>3.3377624753350124</c:v>
                </c:pt>
                <c:pt idx="16">
                  <c:v>2.3052380778996162</c:v>
                </c:pt>
                <c:pt idx="17">
                  <c:v>3.3377624753350124</c:v>
                </c:pt>
                <c:pt idx="18">
                  <c:v>2.3052380778996162</c:v>
                </c:pt>
                <c:pt idx="19">
                  <c:v>2.3052380778996162</c:v>
                </c:pt>
                <c:pt idx="20">
                  <c:v>2.3052380778996162</c:v>
                </c:pt>
                <c:pt idx="21">
                  <c:v>3.3377624753350124</c:v>
                </c:pt>
                <c:pt idx="22">
                  <c:v>3.3377624753350124</c:v>
                </c:pt>
                <c:pt idx="23">
                  <c:v>3.3377624753350124</c:v>
                </c:pt>
                <c:pt idx="24">
                  <c:v>2.3052380778996162</c:v>
                </c:pt>
                <c:pt idx="25">
                  <c:v>2.3052380778996162</c:v>
                </c:pt>
                <c:pt idx="26">
                  <c:v>2.3052380778996162</c:v>
                </c:pt>
                <c:pt idx="27">
                  <c:v>2.3052380778996162</c:v>
                </c:pt>
                <c:pt idx="28">
                  <c:v>3.3377624753350124</c:v>
                </c:pt>
                <c:pt idx="29">
                  <c:v>3.3377624753350124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27-8140-B744-F4E222D334C2}"/>
            </c:ext>
          </c:extLst>
        </c:ser>
        <c:ser>
          <c:idx val="1"/>
          <c:order val="1"/>
          <c:tx>
            <c:strRef>
              <c:f>'Question 1'!$M$2</c:f>
              <c:strCache>
                <c:ptCount val="1"/>
                <c:pt idx="0">
                  <c:v>U Ridhi 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'Question 1'!$F$3:$F$32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'Question 1'!$M$3:$M$32</c:f>
              <c:numCache>
                <c:formatCode>0.00</c:formatCode>
                <c:ptCount val="30"/>
                <c:pt idx="0">
                  <c:v>2.9487780973285167</c:v>
                </c:pt>
                <c:pt idx="1">
                  <c:v>2.9487780973285167</c:v>
                </c:pt>
                <c:pt idx="2">
                  <c:v>2.9487780973285167</c:v>
                </c:pt>
                <c:pt idx="3">
                  <c:v>2.9487780973285167</c:v>
                </c:pt>
                <c:pt idx="4">
                  <c:v>2.9487780973285167</c:v>
                </c:pt>
                <c:pt idx="5">
                  <c:v>2.9487780973285167</c:v>
                </c:pt>
                <c:pt idx="6">
                  <c:v>2.9487780973285167</c:v>
                </c:pt>
                <c:pt idx="7">
                  <c:v>2.9487780973285167</c:v>
                </c:pt>
                <c:pt idx="8">
                  <c:v>2.9487780973285167</c:v>
                </c:pt>
                <c:pt idx="9">
                  <c:v>2.9487780973285167</c:v>
                </c:pt>
                <c:pt idx="10">
                  <c:v>2.9487780973285167</c:v>
                </c:pt>
                <c:pt idx="11">
                  <c:v>2.9487780973285167</c:v>
                </c:pt>
                <c:pt idx="12">
                  <c:v>2.9487780973285167</c:v>
                </c:pt>
                <c:pt idx="13">
                  <c:v>2.9487780973285167</c:v>
                </c:pt>
                <c:pt idx="14">
                  <c:v>2.9487780973285167</c:v>
                </c:pt>
                <c:pt idx="15">
                  <c:v>2.9487780973285167</c:v>
                </c:pt>
                <c:pt idx="16">
                  <c:v>2.9487780973285167</c:v>
                </c:pt>
                <c:pt idx="17">
                  <c:v>2.9487780973285167</c:v>
                </c:pt>
                <c:pt idx="18">
                  <c:v>2.9487780973285167</c:v>
                </c:pt>
                <c:pt idx="19">
                  <c:v>2.9487780973285167</c:v>
                </c:pt>
                <c:pt idx="20">
                  <c:v>2.9487780973285167</c:v>
                </c:pt>
                <c:pt idx="21">
                  <c:v>2.9487780973285167</c:v>
                </c:pt>
                <c:pt idx="22">
                  <c:v>2.9487780973285167</c:v>
                </c:pt>
                <c:pt idx="23">
                  <c:v>2.9487780973285167</c:v>
                </c:pt>
                <c:pt idx="24">
                  <c:v>2.9487780973285167</c:v>
                </c:pt>
                <c:pt idx="25">
                  <c:v>2.9487780973285167</c:v>
                </c:pt>
                <c:pt idx="26">
                  <c:v>2.9487780973285167</c:v>
                </c:pt>
                <c:pt idx="27">
                  <c:v>2.9487780973285167</c:v>
                </c:pt>
                <c:pt idx="28">
                  <c:v>2.9487780973285167</c:v>
                </c:pt>
                <c:pt idx="29">
                  <c:v>2.9487780973285167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27-8140-B744-F4E222D33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519704"/>
        <c:axId val="2127237720"/>
      </c:scatterChart>
      <c:valAx>
        <c:axId val="2125519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Period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237720"/>
        <c:crosses val="autoZero"/>
        <c:crossBetween val="midCat"/>
      </c:valAx>
      <c:valAx>
        <c:axId val="2127237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ln(x)</a:t>
                </a:r>
                <a:r>
                  <a:rPr lang="en-US" baseline="0"/>
                  <a:t> Utility Function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519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Neha's Utility Across</a:t>
            </a:r>
            <a:r>
              <a:rPr lang="en-US" baseline="0"/>
              <a:t>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'Question 1'!$H$2</c:f>
              <c:strCache>
                <c:ptCount val="1"/>
                <c:pt idx="0">
                  <c:v>U Neha Autarky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'Question 1'!$F$3:$F$32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'Question 1'!$H$3:$H$32</c:f>
              <c:numCache>
                <c:formatCode>0.0</c:formatCode>
                <c:ptCount val="30"/>
                <c:pt idx="0">
                  <c:v>8.985986624850387</c:v>
                </c:pt>
                <c:pt idx="1">
                  <c:v>26.933787338750172</c:v>
                </c:pt>
                <c:pt idx="2">
                  <c:v>8.985986624850387</c:v>
                </c:pt>
                <c:pt idx="3">
                  <c:v>26.933787338750172</c:v>
                </c:pt>
                <c:pt idx="4">
                  <c:v>26.933787338750172</c:v>
                </c:pt>
                <c:pt idx="5">
                  <c:v>8.985986624850387</c:v>
                </c:pt>
                <c:pt idx="6">
                  <c:v>26.933787338750172</c:v>
                </c:pt>
                <c:pt idx="7">
                  <c:v>8.985986624850387</c:v>
                </c:pt>
                <c:pt idx="8">
                  <c:v>8.985986624850387</c:v>
                </c:pt>
                <c:pt idx="9">
                  <c:v>26.933787338750172</c:v>
                </c:pt>
                <c:pt idx="10">
                  <c:v>8.985986624850387</c:v>
                </c:pt>
                <c:pt idx="11">
                  <c:v>26.933787338750172</c:v>
                </c:pt>
                <c:pt idx="12">
                  <c:v>26.933787338750172</c:v>
                </c:pt>
                <c:pt idx="13">
                  <c:v>8.985986624850387</c:v>
                </c:pt>
                <c:pt idx="14">
                  <c:v>26.933787338750172</c:v>
                </c:pt>
                <c:pt idx="15">
                  <c:v>26.933787338750172</c:v>
                </c:pt>
                <c:pt idx="16">
                  <c:v>8.985986624850387</c:v>
                </c:pt>
                <c:pt idx="17">
                  <c:v>26.933787338750172</c:v>
                </c:pt>
                <c:pt idx="18">
                  <c:v>8.985986624850387</c:v>
                </c:pt>
                <c:pt idx="19">
                  <c:v>8.985986624850387</c:v>
                </c:pt>
                <c:pt idx="20">
                  <c:v>8.985986624850387</c:v>
                </c:pt>
                <c:pt idx="21">
                  <c:v>26.933787338750172</c:v>
                </c:pt>
                <c:pt idx="22">
                  <c:v>26.933787338750172</c:v>
                </c:pt>
                <c:pt idx="23">
                  <c:v>26.933787338750172</c:v>
                </c:pt>
                <c:pt idx="24">
                  <c:v>8.985986624850387</c:v>
                </c:pt>
                <c:pt idx="25">
                  <c:v>8.985986624850387</c:v>
                </c:pt>
                <c:pt idx="26">
                  <c:v>8.985986624850387</c:v>
                </c:pt>
                <c:pt idx="27">
                  <c:v>8.985986624850387</c:v>
                </c:pt>
                <c:pt idx="28">
                  <c:v>26.933787338750172</c:v>
                </c:pt>
                <c:pt idx="29">
                  <c:v>26.933787338750172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0D-A94A-A927-24DDF7521AC5}"/>
            </c:ext>
          </c:extLst>
        </c:ser>
        <c:ser>
          <c:idx val="1"/>
          <c:order val="1"/>
          <c:tx>
            <c:strRef>
              <c:f>'Question 1'!$N$2</c:f>
              <c:strCache>
                <c:ptCount val="1"/>
                <c:pt idx="0">
                  <c:v>U Neha 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'Question 1'!$F$3:$F$32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'Question 1'!$N$3:$N$32</c:f>
              <c:numCache>
                <c:formatCode>0.0</c:formatCode>
                <c:ptCount val="30"/>
                <c:pt idx="0">
                  <c:v>0</c:v>
                </c:pt>
                <c:pt idx="1">
                  <c:v>35.902539503130754</c:v>
                </c:pt>
                <c:pt idx="2">
                  <c:v>0</c:v>
                </c:pt>
                <c:pt idx="3">
                  <c:v>35.902539503130754</c:v>
                </c:pt>
                <c:pt idx="4">
                  <c:v>35.902539503130754</c:v>
                </c:pt>
                <c:pt idx="5">
                  <c:v>0</c:v>
                </c:pt>
                <c:pt idx="6">
                  <c:v>35.902539503130754</c:v>
                </c:pt>
                <c:pt idx="7">
                  <c:v>0</c:v>
                </c:pt>
                <c:pt idx="8">
                  <c:v>0</c:v>
                </c:pt>
                <c:pt idx="9">
                  <c:v>35.902539503130754</c:v>
                </c:pt>
                <c:pt idx="10">
                  <c:v>0</c:v>
                </c:pt>
                <c:pt idx="11">
                  <c:v>35.902539503130754</c:v>
                </c:pt>
                <c:pt idx="12">
                  <c:v>35.902539503130754</c:v>
                </c:pt>
                <c:pt idx="13">
                  <c:v>0</c:v>
                </c:pt>
                <c:pt idx="14">
                  <c:v>35.902539503130754</c:v>
                </c:pt>
                <c:pt idx="15">
                  <c:v>35.902539503130754</c:v>
                </c:pt>
                <c:pt idx="16">
                  <c:v>0</c:v>
                </c:pt>
                <c:pt idx="17">
                  <c:v>35.902539503130754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35.902539503130754</c:v>
                </c:pt>
                <c:pt idx="22">
                  <c:v>35.902539503130754</c:v>
                </c:pt>
                <c:pt idx="23">
                  <c:v>35.902539503130754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35.902539503130754</c:v>
                </c:pt>
                <c:pt idx="29">
                  <c:v>35.902539503130754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0D-A94A-A927-24DDF7521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885896"/>
        <c:axId val="2132876536"/>
      </c:scatterChart>
      <c:valAx>
        <c:axId val="2132885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Period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876536"/>
        <c:crosses val="autoZero"/>
        <c:crossBetween val="midCat"/>
      </c:valAx>
      <c:valAx>
        <c:axId val="2132876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x-1</a:t>
                </a:r>
                <a:r>
                  <a:rPr lang="en-US" baseline="0"/>
                  <a:t> Utility Function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885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Ridhi's</a:t>
            </a:r>
            <a:r>
              <a:rPr lang="en-US" baseline="0"/>
              <a:t> Utility Across Time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'Question 2'!$G$2</c:f>
              <c:strCache>
                <c:ptCount val="1"/>
                <c:pt idx="0">
                  <c:v>U Ridhi Autarky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'Question 2'!$F$3:$F$32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'Question 2'!$G$3:$G$32</c:f>
              <c:numCache>
                <c:formatCode>0.0</c:formatCode>
                <c:ptCount val="30"/>
                <c:pt idx="0">
                  <c:v>3.3377624753350124</c:v>
                </c:pt>
                <c:pt idx="1">
                  <c:v>3.3377624753350124</c:v>
                </c:pt>
                <c:pt idx="2">
                  <c:v>2.3052380778996162</c:v>
                </c:pt>
                <c:pt idx="3">
                  <c:v>3.3377624753350124</c:v>
                </c:pt>
                <c:pt idx="4">
                  <c:v>3.3377624753350124</c:v>
                </c:pt>
                <c:pt idx="5">
                  <c:v>3.3377624753350124</c:v>
                </c:pt>
                <c:pt idx="6">
                  <c:v>2.3052380778996162</c:v>
                </c:pt>
                <c:pt idx="7">
                  <c:v>3.3377624753350124</c:v>
                </c:pt>
                <c:pt idx="8">
                  <c:v>3.3377624753350124</c:v>
                </c:pt>
                <c:pt idx="9">
                  <c:v>2.3052380778996162</c:v>
                </c:pt>
                <c:pt idx="10">
                  <c:v>3.3377624753350124</c:v>
                </c:pt>
                <c:pt idx="11">
                  <c:v>2.3052380778996162</c:v>
                </c:pt>
                <c:pt idx="12">
                  <c:v>2.3052380778996162</c:v>
                </c:pt>
                <c:pt idx="13">
                  <c:v>3.3377624753350124</c:v>
                </c:pt>
                <c:pt idx="14">
                  <c:v>3.3377624753350124</c:v>
                </c:pt>
                <c:pt idx="15">
                  <c:v>2.3052380778996162</c:v>
                </c:pt>
                <c:pt idx="16">
                  <c:v>3.3377624753350124</c:v>
                </c:pt>
                <c:pt idx="17">
                  <c:v>3.3377624753350124</c:v>
                </c:pt>
                <c:pt idx="18">
                  <c:v>3.3377624753350124</c:v>
                </c:pt>
                <c:pt idx="19">
                  <c:v>3.3377624753350124</c:v>
                </c:pt>
                <c:pt idx="20">
                  <c:v>2.3052380778996162</c:v>
                </c:pt>
                <c:pt idx="21">
                  <c:v>3.3377624753350124</c:v>
                </c:pt>
                <c:pt idx="22">
                  <c:v>2.3052380778996162</c:v>
                </c:pt>
                <c:pt idx="23">
                  <c:v>2.3052380778996162</c:v>
                </c:pt>
                <c:pt idx="24">
                  <c:v>3.3377624753350124</c:v>
                </c:pt>
                <c:pt idx="25">
                  <c:v>3.3377624753350124</c:v>
                </c:pt>
                <c:pt idx="26">
                  <c:v>2.3052380778996162</c:v>
                </c:pt>
                <c:pt idx="27">
                  <c:v>2.3052380778996162</c:v>
                </c:pt>
                <c:pt idx="28">
                  <c:v>2.3052380778996162</c:v>
                </c:pt>
                <c:pt idx="29">
                  <c:v>2.3052380778996162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14-7B49-BA2D-2929D68E687F}"/>
            </c:ext>
          </c:extLst>
        </c:ser>
        <c:ser>
          <c:idx val="1"/>
          <c:order val="1"/>
          <c:tx>
            <c:strRef>
              <c:f>'Question 2'!$M$2</c:f>
              <c:strCache>
                <c:ptCount val="1"/>
                <c:pt idx="0">
                  <c:v>U Ridhi 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'Question 2'!$F$3:$F$32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'Question 2'!$M$3:$M$32</c:f>
              <c:numCache>
                <c:formatCode>0.0</c:formatCode>
                <c:ptCount val="30"/>
                <c:pt idx="0">
                  <c:v>2.9487780973285167</c:v>
                </c:pt>
                <c:pt idx="1">
                  <c:v>2.9487780973285167</c:v>
                </c:pt>
                <c:pt idx="2">
                  <c:v>2.9487780973285167</c:v>
                </c:pt>
                <c:pt idx="3">
                  <c:v>2.9487780973285167</c:v>
                </c:pt>
                <c:pt idx="4">
                  <c:v>2.9487780973285167</c:v>
                </c:pt>
                <c:pt idx="5">
                  <c:v>2.9487780973285167</c:v>
                </c:pt>
                <c:pt idx="6">
                  <c:v>2.9487780973285167</c:v>
                </c:pt>
                <c:pt idx="7">
                  <c:v>2.9487780973285167</c:v>
                </c:pt>
                <c:pt idx="8">
                  <c:v>2.9487780973285167</c:v>
                </c:pt>
                <c:pt idx="9">
                  <c:v>2.9487780973285167</c:v>
                </c:pt>
                <c:pt idx="10">
                  <c:v>2.9487780973285167</c:v>
                </c:pt>
                <c:pt idx="11">
                  <c:v>2.9487780973285167</c:v>
                </c:pt>
                <c:pt idx="12">
                  <c:v>2.9487780973285167</c:v>
                </c:pt>
                <c:pt idx="13">
                  <c:v>2.9487780973285167</c:v>
                </c:pt>
                <c:pt idx="14">
                  <c:v>2.9487780973285167</c:v>
                </c:pt>
                <c:pt idx="15">
                  <c:v>2.9487780973285167</c:v>
                </c:pt>
                <c:pt idx="16">
                  <c:v>2.9487780973285167</c:v>
                </c:pt>
                <c:pt idx="17">
                  <c:v>2.9487780973285167</c:v>
                </c:pt>
                <c:pt idx="18">
                  <c:v>2.9487780973285167</c:v>
                </c:pt>
                <c:pt idx="19">
                  <c:v>2.9487780973285167</c:v>
                </c:pt>
                <c:pt idx="20">
                  <c:v>2.9487780973285167</c:v>
                </c:pt>
                <c:pt idx="21">
                  <c:v>2.9487780973285167</c:v>
                </c:pt>
                <c:pt idx="22">
                  <c:v>2.9487780973285167</c:v>
                </c:pt>
                <c:pt idx="23">
                  <c:v>2.9487780973285167</c:v>
                </c:pt>
                <c:pt idx="24">
                  <c:v>2.9487780973285167</c:v>
                </c:pt>
                <c:pt idx="25">
                  <c:v>2.9487780973285167</c:v>
                </c:pt>
                <c:pt idx="26">
                  <c:v>2.9487780973285167</c:v>
                </c:pt>
                <c:pt idx="27">
                  <c:v>2.9487780973285167</c:v>
                </c:pt>
                <c:pt idx="28">
                  <c:v>2.9487780973285167</c:v>
                </c:pt>
                <c:pt idx="29">
                  <c:v>2.9487780973285167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14-7B49-BA2D-2929D68E6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519704"/>
        <c:axId val="2127237720"/>
      </c:scatterChart>
      <c:valAx>
        <c:axId val="2125519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Period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237720"/>
        <c:crosses val="autoZero"/>
        <c:crossBetween val="midCat"/>
      </c:valAx>
      <c:valAx>
        <c:axId val="2127237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ln(x)</a:t>
                </a:r>
                <a:r>
                  <a:rPr lang="en-US" baseline="0"/>
                  <a:t> Utility Function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519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Neha's Utility Across</a:t>
            </a:r>
            <a:r>
              <a:rPr lang="en-US" baseline="0"/>
              <a:t>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'Question 2'!$H$2</c:f>
              <c:strCache>
                <c:ptCount val="1"/>
                <c:pt idx="0">
                  <c:v>U Neha Autarky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'Question 2'!$F$3:$F$32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'Question 2'!$H$3:$H$32</c:f>
              <c:numCache>
                <c:formatCode>0.0</c:formatCode>
                <c:ptCount val="30"/>
                <c:pt idx="0">
                  <c:v>3.3377624753350124</c:v>
                </c:pt>
                <c:pt idx="1">
                  <c:v>3.3377624753350124</c:v>
                </c:pt>
                <c:pt idx="2">
                  <c:v>2.3052380778996162</c:v>
                </c:pt>
                <c:pt idx="3">
                  <c:v>3.3377624753350124</c:v>
                </c:pt>
                <c:pt idx="4">
                  <c:v>3.3377624753350124</c:v>
                </c:pt>
                <c:pt idx="5">
                  <c:v>3.3377624753350124</c:v>
                </c:pt>
                <c:pt idx="6">
                  <c:v>2.3052380778996162</c:v>
                </c:pt>
                <c:pt idx="7">
                  <c:v>3.3377624753350124</c:v>
                </c:pt>
                <c:pt idx="8">
                  <c:v>3.3377624753350124</c:v>
                </c:pt>
                <c:pt idx="9">
                  <c:v>2.3052380778996162</c:v>
                </c:pt>
                <c:pt idx="10">
                  <c:v>3.3377624753350124</c:v>
                </c:pt>
                <c:pt idx="11">
                  <c:v>2.3052380778996162</c:v>
                </c:pt>
                <c:pt idx="12">
                  <c:v>2.3052380778996162</c:v>
                </c:pt>
                <c:pt idx="13">
                  <c:v>3.3377624753350124</c:v>
                </c:pt>
                <c:pt idx="14">
                  <c:v>3.3377624753350124</c:v>
                </c:pt>
                <c:pt idx="15">
                  <c:v>2.3052380778996162</c:v>
                </c:pt>
                <c:pt idx="16">
                  <c:v>3.3377624753350124</c:v>
                </c:pt>
                <c:pt idx="17">
                  <c:v>3.3377624753350124</c:v>
                </c:pt>
                <c:pt idx="18">
                  <c:v>3.3377624753350124</c:v>
                </c:pt>
                <c:pt idx="19">
                  <c:v>3.3377624753350124</c:v>
                </c:pt>
                <c:pt idx="20">
                  <c:v>2.3052380778996162</c:v>
                </c:pt>
                <c:pt idx="21">
                  <c:v>3.3377624753350124</c:v>
                </c:pt>
                <c:pt idx="22">
                  <c:v>2.3052380778996162</c:v>
                </c:pt>
                <c:pt idx="23">
                  <c:v>2.3052380778996162</c:v>
                </c:pt>
                <c:pt idx="24">
                  <c:v>3.3377624753350124</c:v>
                </c:pt>
                <c:pt idx="25">
                  <c:v>3.3377624753350124</c:v>
                </c:pt>
                <c:pt idx="26">
                  <c:v>2.3052380778996162</c:v>
                </c:pt>
                <c:pt idx="27">
                  <c:v>2.3052380778996162</c:v>
                </c:pt>
                <c:pt idx="28">
                  <c:v>2.3052380778996162</c:v>
                </c:pt>
                <c:pt idx="29">
                  <c:v>2.3052380778996162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42-7B4B-BC2D-EAE1C4C38FDC}"/>
            </c:ext>
          </c:extLst>
        </c:ser>
        <c:ser>
          <c:idx val="1"/>
          <c:order val="1"/>
          <c:tx>
            <c:strRef>
              <c:f>'Question 2'!$N$2</c:f>
              <c:strCache>
                <c:ptCount val="1"/>
                <c:pt idx="0">
                  <c:v>U Neha 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'Question 2'!$F$3:$F$32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'Question 2'!$N$3:$N$32</c:f>
              <c:numCache>
                <c:formatCode>0.0</c:formatCode>
                <c:ptCount val="30"/>
                <c:pt idx="0">
                  <c:v>3.6174451307817681</c:v>
                </c:pt>
                <c:pt idx="1">
                  <c:v>3.6174451307817681</c:v>
                </c:pt>
                <c:pt idx="2">
                  <c:v>0</c:v>
                </c:pt>
                <c:pt idx="3">
                  <c:v>3.6174451307817681</c:v>
                </c:pt>
                <c:pt idx="4">
                  <c:v>3.6174451307817681</c:v>
                </c:pt>
                <c:pt idx="5">
                  <c:v>3.6174451307817681</c:v>
                </c:pt>
                <c:pt idx="6">
                  <c:v>0</c:v>
                </c:pt>
                <c:pt idx="7">
                  <c:v>3.6174451307817681</c:v>
                </c:pt>
                <c:pt idx="8">
                  <c:v>3.6174451307817681</c:v>
                </c:pt>
                <c:pt idx="9">
                  <c:v>0</c:v>
                </c:pt>
                <c:pt idx="10">
                  <c:v>3.6174451307817681</c:v>
                </c:pt>
                <c:pt idx="11">
                  <c:v>0</c:v>
                </c:pt>
                <c:pt idx="12">
                  <c:v>0</c:v>
                </c:pt>
                <c:pt idx="13">
                  <c:v>3.6174451307817681</c:v>
                </c:pt>
                <c:pt idx="14">
                  <c:v>3.6174451307817681</c:v>
                </c:pt>
                <c:pt idx="15">
                  <c:v>0</c:v>
                </c:pt>
                <c:pt idx="16">
                  <c:v>3.6174451307817681</c:v>
                </c:pt>
                <c:pt idx="17">
                  <c:v>3.6174451307817681</c:v>
                </c:pt>
                <c:pt idx="18">
                  <c:v>3.6174451307817681</c:v>
                </c:pt>
                <c:pt idx="19">
                  <c:v>3.6174451307817681</c:v>
                </c:pt>
                <c:pt idx="20">
                  <c:v>0</c:v>
                </c:pt>
                <c:pt idx="21">
                  <c:v>3.6174451307817681</c:v>
                </c:pt>
                <c:pt idx="22">
                  <c:v>0</c:v>
                </c:pt>
                <c:pt idx="23">
                  <c:v>0</c:v>
                </c:pt>
                <c:pt idx="24">
                  <c:v>3.6174451307817681</c:v>
                </c:pt>
                <c:pt idx="25">
                  <c:v>3.6174451307817681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42-7B4B-BC2D-EAE1C4C38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885896"/>
        <c:axId val="2132876536"/>
      </c:scatterChart>
      <c:valAx>
        <c:axId val="2132885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Period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876536"/>
        <c:crosses val="autoZero"/>
        <c:crossBetween val="midCat"/>
      </c:valAx>
      <c:valAx>
        <c:axId val="2132876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ln(x)</a:t>
                </a:r>
              </a:p>
              <a:p>
                <a:pPr>
                  <a:defRPr/>
                </a:pPr>
                <a:r>
                  <a:rPr lang="en-US" baseline="0"/>
                  <a:t> Utility Function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885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Ridhi's</a:t>
            </a:r>
            <a:r>
              <a:rPr lang="en-US" baseline="0"/>
              <a:t> Utility Across Time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'Question 3'!$H$2</c:f>
              <c:strCache>
                <c:ptCount val="1"/>
                <c:pt idx="0">
                  <c:v>U Ridhi Autarky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'Question 3'!$G$3:$G$32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'Question 3'!$H$3:$H$32</c:f>
              <c:numCache>
                <c:formatCode>0.00</c:formatCode>
                <c:ptCount val="30"/>
                <c:pt idx="0">
                  <c:v>3.3377624753350124</c:v>
                </c:pt>
                <c:pt idx="1">
                  <c:v>3.3377624753350124</c:v>
                </c:pt>
                <c:pt idx="2">
                  <c:v>3.3377624753350124</c:v>
                </c:pt>
                <c:pt idx="3">
                  <c:v>2.3052380778996162</c:v>
                </c:pt>
                <c:pt idx="4">
                  <c:v>3.3377624753350124</c:v>
                </c:pt>
                <c:pt idx="5">
                  <c:v>2.3052380778996162</c:v>
                </c:pt>
                <c:pt idx="6">
                  <c:v>3.3377624753350124</c:v>
                </c:pt>
                <c:pt idx="7">
                  <c:v>2.3052380778996162</c:v>
                </c:pt>
                <c:pt idx="8">
                  <c:v>2.3052380778996162</c:v>
                </c:pt>
                <c:pt idx="9">
                  <c:v>3.3377624753350124</c:v>
                </c:pt>
                <c:pt idx="10">
                  <c:v>3.3377624753350124</c:v>
                </c:pt>
                <c:pt idx="11">
                  <c:v>3.3377624753350124</c:v>
                </c:pt>
                <c:pt idx="12">
                  <c:v>3.3377624753350124</c:v>
                </c:pt>
                <c:pt idx="13">
                  <c:v>2.3052380778996162</c:v>
                </c:pt>
                <c:pt idx="14">
                  <c:v>3.3377624753350124</c:v>
                </c:pt>
                <c:pt idx="15">
                  <c:v>3.3377624753350124</c:v>
                </c:pt>
                <c:pt idx="16">
                  <c:v>2.3052380778996162</c:v>
                </c:pt>
                <c:pt idx="17">
                  <c:v>3.3377624753350124</c:v>
                </c:pt>
                <c:pt idx="18">
                  <c:v>3.3377624753350124</c:v>
                </c:pt>
                <c:pt idx="19">
                  <c:v>2.3052380778996162</c:v>
                </c:pt>
                <c:pt idx="20">
                  <c:v>3.3377624753350124</c:v>
                </c:pt>
                <c:pt idx="21">
                  <c:v>3.3377624753350124</c:v>
                </c:pt>
                <c:pt idx="22">
                  <c:v>3.3377624753350124</c:v>
                </c:pt>
                <c:pt idx="23">
                  <c:v>2.3052380778996162</c:v>
                </c:pt>
                <c:pt idx="24">
                  <c:v>2.3052380778996162</c:v>
                </c:pt>
                <c:pt idx="25">
                  <c:v>3.3377624753350124</c:v>
                </c:pt>
                <c:pt idx="26">
                  <c:v>2.3052380778996162</c:v>
                </c:pt>
                <c:pt idx="27">
                  <c:v>3.3377624753350124</c:v>
                </c:pt>
                <c:pt idx="28">
                  <c:v>3.3377624753350124</c:v>
                </c:pt>
                <c:pt idx="29">
                  <c:v>2.3052380778996162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7F-7E45-9CB7-9C039A2B4938}"/>
            </c:ext>
          </c:extLst>
        </c:ser>
        <c:ser>
          <c:idx val="1"/>
          <c:order val="1"/>
          <c:tx>
            <c:strRef>
              <c:f>'Question 3'!$N$2</c:f>
              <c:strCache>
                <c:ptCount val="1"/>
                <c:pt idx="0">
                  <c:v>U Ridhi 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'Question 3'!$G$3:$G$32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'Question 3'!$N$3:$N$32</c:f>
              <c:numCache>
                <c:formatCode>0.00</c:formatCode>
                <c:ptCount val="30"/>
                <c:pt idx="0">
                  <c:v>3.0958246511385541</c:v>
                </c:pt>
                <c:pt idx="1">
                  <c:v>3.0958246511385541</c:v>
                </c:pt>
                <c:pt idx="2">
                  <c:v>3.3729715393993023</c:v>
                </c:pt>
                <c:pt idx="3">
                  <c:v>2.8372306860824343</c:v>
                </c:pt>
                <c:pt idx="4">
                  <c:v>3.3729715393993023</c:v>
                </c:pt>
                <c:pt idx="5">
                  <c:v>2.8372306860824343</c:v>
                </c:pt>
                <c:pt idx="6">
                  <c:v>3.3729715393993023</c:v>
                </c:pt>
                <c:pt idx="7">
                  <c:v>2.8372306860824343</c:v>
                </c:pt>
                <c:pt idx="8">
                  <c:v>2.3052380778996162</c:v>
                </c:pt>
                <c:pt idx="9">
                  <c:v>3.0958246511385541</c:v>
                </c:pt>
                <c:pt idx="10">
                  <c:v>3.3729715393993023</c:v>
                </c:pt>
                <c:pt idx="11">
                  <c:v>3.3729715393993023</c:v>
                </c:pt>
                <c:pt idx="12">
                  <c:v>3.3729715393993023</c:v>
                </c:pt>
                <c:pt idx="13">
                  <c:v>2.8372306860824343</c:v>
                </c:pt>
                <c:pt idx="14">
                  <c:v>3.0958246511385541</c:v>
                </c:pt>
                <c:pt idx="15">
                  <c:v>3.0958246511385541</c:v>
                </c:pt>
                <c:pt idx="16">
                  <c:v>2.8372306860824343</c:v>
                </c:pt>
                <c:pt idx="17">
                  <c:v>3.0958246511385541</c:v>
                </c:pt>
                <c:pt idx="18">
                  <c:v>3.3729715393993023</c:v>
                </c:pt>
                <c:pt idx="19">
                  <c:v>2.8372306860824343</c:v>
                </c:pt>
                <c:pt idx="20">
                  <c:v>3.3729715393993023</c:v>
                </c:pt>
                <c:pt idx="21">
                  <c:v>3.0958246511385541</c:v>
                </c:pt>
                <c:pt idx="22">
                  <c:v>3.0958246511385541</c:v>
                </c:pt>
                <c:pt idx="23">
                  <c:v>2.8372306860824343</c:v>
                </c:pt>
                <c:pt idx="24">
                  <c:v>2.8372306860824343</c:v>
                </c:pt>
                <c:pt idx="25">
                  <c:v>3.3729715393993023</c:v>
                </c:pt>
                <c:pt idx="26">
                  <c:v>2.3052380778996162</c:v>
                </c:pt>
                <c:pt idx="27">
                  <c:v>3.0958246511385541</c:v>
                </c:pt>
                <c:pt idx="28">
                  <c:v>3.0958246511385541</c:v>
                </c:pt>
                <c:pt idx="29">
                  <c:v>2.8372306860824343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7F-7E45-9CB7-9C039A2B4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103240"/>
        <c:axId val="2135112824"/>
      </c:scatterChart>
      <c:valAx>
        <c:axId val="2135103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Period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5112824"/>
        <c:crosses val="autoZero"/>
        <c:crossBetween val="midCat"/>
      </c:valAx>
      <c:valAx>
        <c:axId val="213511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ln(x)</a:t>
                </a:r>
                <a:r>
                  <a:rPr lang="en-US" baseline="0"/>
                  <a:t> Utility Function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5103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Neha's Utility Across</a:t>
            </a:r>
            <a:r>
              <a:rPr lang="en-US" baseline="0"/>
              <a:t>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'Question 3'!$I$2</c:f>
              <c:strCache>
                <c:ptCount val="1"/>
                <c:pt idx="0">
                  <c:v>U Neha Autarky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'Question 3'!$G$3:$G$32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'Question 3'!$I$3:$I$32</c:f>
              <c:numCache>
                <c:formatCode>0.00</c:formatCode>
                <c:ptCount val="30"/>
                <c:pt idx="0">
                  <c:v>2.3052380778996162</c:v>
                </c:pt>
                <c:pt idx="1">
                  <c:v>2.3052380778996162</c:v>
                </c:pt>
                <c:pt idx="2">
                  <c:v>3.3377624753350124</c:v>
                </c:pt>
                <c:pt idx="3">
                  <c:v>3.3377624753350124</c:v>
                </c:pt>
                <c:pt idx="4">
                  <c:v>3.3377624753350124</c:v>
                </c:pt>
                <c:pt idx="5">
                  <c:v>3.3377624753350124</c:v>
                </c:pt>
                <c:pt idx="6">
                  <c:v>3.3377624753350124</c:v>
                </c:pt>
                <c:pt idx="7">
                  <c:v>3.3377624753350124</c:v>
                </c:pt>
                <c:pt idx="8">
                  <c:v>2.3052380778996162</c:v>
                </c:pt>
                <c:pt idx="9">
                  <c:v>2.3052380778996162</c:v>
                </c:pt>
                <c:pt idx="10">
                  <c:v>3.3377624753350124</c:v>
                </c:pt>
                <c:pt idx="11">
                  <c:v>3.3377624753350124</c:v>
                </c:pt>
                <c:pt idx="12">
                  <c:v>3.3377624753350124</c:v>
                </c:pt>
                <c:pt idx="13">
                  <c:v>3.3377624753350124</c:v>
                </c:pt>
                <c:pt idx="14">
                  <c:v>2.3052380778996162</c:v>
                </c:pt>
                <c:pt idx="15">
                  <c:v>2.3052380778996162</c:v>
                </c:pt>
                <c:pt idx="16">
                  <c:v>3.3377624753350124</c:v>
                </c:pt>
                <c:pt idx="17">
                  <c:v>2.3052380778996162</c:v>
                </c:pt>
                <c:pt idx="18">
                  <c:v>3.3377624753350124</c:v>
                </c:pt>
                <c:pt idx="19">
                  <c:v>3.3377624753350124</c:v>
                </c:pt>
                <c:pt idx="20">
                  <c:v>3.3377624753350124</c:v>
                </c:pt>
                <c:pt idx="21">
                  <c:v>2.3052380778996162</c:v>
                </c:pt>
                <c:pt idx="22">
                  <c:v>2.3052380778996162</c:v>
                </c:pt>
                <c:pt idx="23">
                  <c:v>3.3377624753350124</c:v>
                </c:pt>
                <c:pt idx="24">
                  <c:v>3.3377624753350124</c:v>
                </c:pt>
                <c:pt idx="25">
                  <c:v>3.3377624753350124</c:v>
                </c:pt>
                <c:pt idx="26">
                  <c:v>2.3052380778996162</c:v>
                </c:pt>
                <c:pt idx="27">
                  <c:v>2.3052380778996162</c:v>
                </c:pt>
                <c:pt idx="28">
                  <c:v>2.3052380778996162</c:v>
                </c:pt>
                <c:pt idx="29">
                  <c:v>3.3377624753350124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48-D446-AD57-7D5F6DDBDABC}"/>
            </c:ext>
          </c:extLst>
        </c:ser>
        <c:ser>
          <c:idx val="1"/>
          <c:order val="1"/>
          <c:tx>
            <c:strRef>
              <c:f>'Question 3'!$O$2</c:f>
              <c:strCache>
                <c:ptCount val="1"/>
                <c:pt idx="0">
                  <c:v>U Neha 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'Question 3'!$G$3:$G$32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'Question 3'!$O$3:$O$32</c:f>
              <c:numCache>
                <c:formatCode>0.00</c:formatCode>
                <c:ptCount val="30"/>
                <c:pt idx="0">
                  <c:v>2.7764359010777868</c:v>
                </c:pt>
                <c:pt idx="1">
                  <c:v>2.7764359010777868</c:v>
                </c:pt>
                <c:pt idx="2">
                  <c:v>3.3012741081079846</c:v>
                </c:pt>
                <c:pt idx="3">
                  <c:v>3.0491617030814462</c:v>
                </c:pt>
                <c:pt idx="4">
                  <c:v>3.3012741081079846</c:v>
                </c:pt>
                <c:pt idx="5">
                  <c:v>3.0491617030814462</c:v>
                </c:pt>
                <c:pt idx="6">
                  <c:v>3.3012741081079846</c:v>
                </c:pt>
                <c:pt idx="7">
                  <c:v>3.0491617030814462</c:v>
                </c:pt>
                <c:pt idx="8">
                  <c:v>2.3052380778996162</c:v>
                </c:pt>
                <c:pt idx="9">
                  <c:v>2.7764359010777868</c:v>
                </c:pt>
                <c:pt idx="10">
                  <c:v>3.3012741081079846</c:v>
                </c:pt>
                <c:pt idx="11">
                  <c:v>3.3012741081079846</c:v>
                </c:pt>
                <c:pt idx="12">
                  <c:v>3.3012741081079846</c:v>
                </c:pt>
                <c:pt idx="13">
                  <c:v>3.0491617030814462</c:v>
                </c:pt>
                <c:pt idx="14">
                  <c:v>2.7764359010777868</c:v>
                </c:pt>
                <c:pt idx="15">
                  <c:v>2.7764359010777868</c:v>
                </c:pt>
                <c:pt idx="16">
                  <c:v>3.0491617030814462</c:v>
                </c:pt>
                <c:pt idx="17">
                  <c:v>2.7764359010777868</c:v>
                </c:pt>
                <c:pt idx="18">
                  <c:v>3.3012741081079846</c:v>
                </c:pt>
                <c:pt idx="19">
                  <c:v>3.0491617030814462</c:v>
                </c:pt>
                <c:pt idx="20">
                  <c:v>3.3012741081079846</c:v>
                </c:pt>
                <c:pt idx="21">
                  <c:v>2.7764359010777868</c:v>
                </c:pt>
                <c:pt idx="22">
                  <c:v>2.7764359010777868</c:v>
                </c:pt>
                <c:pt idx="23">
                  <c:v>3.0491617030814462</c:v>
                </c:pt>
                <c:pt idx="24">
                  <c:v>3.0491617030814462</c:v>
                </c:pt>
                <c:pt idx="25">
                  <c:v>3.3012741081079846</c:v>
                </c:pt>
                <c:pt idx="26">
                  <c:v>2.3052380778996162</c:v>
                </c:pt>
                <c:pt idx="27">
                  <c:v>2.7764359010777868</c:v>
                </c:pt>
                <c:pt idx="28">
                  <c:v>2.7764359010777868</c:v>
                </c:pt>
                <c:pt idx="29">
                  <c:v>3.0491617030814462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48-D446-AD57-7D5F6DDBD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009240"/>
        <c:axId val="2127014552"/>
      </c:scatterChart>
      <c:valAx>
        <c:axId val="2127009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Period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014552"/>
        <c:crosses val="autoZero"/>
        <c:crossBetween val="midCat"/>
      </c:valAx>
      <c:valAx>
        <c:axId val="2127014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x-1</a:t>
                </a:r>
                <a:r>
                  <a:rPr lang="en-US" baseline="0"/>
                  <a:t> Utility Function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009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Ridhi's</a:t>
            </a:r>
            <a:r>
              <a:rPr lang="en-US" baseline="0"/>
              <a:t> Utility Across Time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'Question 4'!$H$2</c:f>
              <c:strCache>
                <c:ptCount val="1"/>
                <c:pt idx="0">
                  <c:v>U Ridhi Autarky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'Question 4'!$G$3:$G$32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'Question 4'!$H$3:$H$32</c:f>
              <c:numCache>
                <c:formatCode>0.00</c:formatCode>
                <c:ptCount val="30"/>
                <c:pt idx="0">
                  <c:v>3.3377624753350124</c:v>
                </c:pt>
                <c:pt idx="1">
                  <c:v>3.3377624753350124</c:v>
                </c:pt>
                <c:pt idx="2">
                  <c:v>2.3052380778996162</c:v>
                </c:pt>
                <c:pt idx="3">
                  <c:v>3.3377624753350124</c:v>
                </c:pt>
                <c:pt idx="4">
                  <c:v>2.3052380778996162</c:v>
                </c:pt>
                <c:pt idx="5">
                  <c:v>2.3052380778996162</c:v>
                </c:pt>
                <c:pt idx="6">
                  <c:v>2.3052380778996162</c:v>
                </c:pt>
                <c:pt idx="7">
                  <c:v>3.3377624753350124</c:v>
                </c:pt>
                <c:pt idx="8">
                  <c:v>3.3377624753350124</c:v>
                </c:pt>
                <c:pt idx="9">
                  <c:v>3.3377624753350124</c:v>
                </c:pt>
                <c:pt idx="10">
                  <c:v>2.3052380778996162</c:v>
                </c:pt>
                <c:pt idx="11">
                  <c:v>3.3377624753350124</c:v>
                </c:pt>
                <c:pt idx="12">
                  <c:v>2.3052380778996162</c:v>
                </c:pt>
                <c:pt idx="13">
                  <c:v>3.3377624753350124</c:v>
                </c:pt>
                <c:pt idx="14">
                  <c:v>2.3052380778996162</c:v>
                </c:pt>
                <c:pt idx="15">
                  <c:v>2.3052380778996162</c:v>
                </c:pt>
                <c:pt idx="16">
                  <c:v>2.3052380778996162</c:v>
                </c:pt>
                <c:pt idx="17">
                  <c:v>3.3377624753350124</c:v>
                </c:pt>
                <c:pt idx="18">
                  <c:v>3.3377624753350124</c:v>
                </c:pt>
                <c:pt idx="19">
                  <c:v>3.3377624753350124</c:v>
                </c:pt>
                <c:pt idx="20">
                  <c:v>3.3377624753350124</c:v>
                </c:pt>
                <c:pt idx="21">
                  <c:v>3.3377624753350124</c:v>
                </c:pt>
                <c:pt idx="22">
                  <c:v>2.3052380778996162</c:v>
                </c:pt>
                <c:pt idx="23">
                  <c:v>3.3377624753350124</c:v>
                </c:pt>
                <c:pt idx="24">
                  <c:v>2.3052380778996162</c:v>
                </c:pt>
                <c:pt idx="25">
                  <c:v>2.3052380778996162</c:v>
                </c:pt>
                <c:pt idx="26">
                  <c:v>3.3377624753350124</c:v>
                </c:pt>
                <c:pt idx="27">
                  <c:v>3.3377624753350124</c:v>
                </c:pt>
                <c:pt idx="28">
                  <c:v>3.3377624753350124</c:v>
                </c:pt>
                <c:pt idx="29">
                  <c:v>3.3377624753350124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02-C941-9385-83742660DBD6}"/>
            </c:ext>
          </c:extLst>
        </c:ser>
        <c:ser>
          <c:idx val="1"/>
          <c:order val="1"/>
          <c:tx>
            <c:strRef>
              <c:f>'Question 4'!$N$2</c:f>
              <c:strCache>
                <c:ptCount val="1"/>
                <c:pt idx="0">
                  <c:v>U Ridhi 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'Question 4'!$G$3:$G$32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'Question 4'!$N$3:$N$32</c:f>
              <c:numCache>
                <c:formatCode>0.00</c:formatCode>
                <c:ptCount val="30"/>
                <c:pt idx="0">
                  <c:v>3.0958246511385541</c:v>
                </c:pt>
                <c:pt idx="1">
                  <c:v>3.3729715393993023</c:v>
                </c:pt>
                <c:pt idx="2">
                  <c:v>2.8372306860824343</c:v>
                </c:pt>
                <c:pt idx="3">
                  <c:v>3.0958246511385541</c:v>
                </c:pt>
                <c:pt idx="4">
                  <c:v>2.8372306860824343</c:v>
                </c:pt>
                <c:pt idx="5">
                  <c:v>2.3052380778996162</c:v>
                </c:pt>
                <c:pt idx="6">
                  <c:v>2.3052380778996162</c:v>
                </c:pt>
                <c:pt idx="7">
                  <c:v>3.3729715393993023</c:v>
                </c:pt>
                <c:pt idx="8">
                  <c:v>3.3729715393993023</c:v>
                </c:pt>
                <c:pt idx="9">
                  <c:v>3.0958246511385541</c:v>
                </c:pt>
                <c:pt idx="10">
                  <c:v>2.3052380778996162</c:v>
                </c:pt>
                <c:pt idx="11">
                  <c:v>3.3729715393993023</c:v>
                </c:pt>
                <c:pt idx="12">
                  <c:v>2.8372306860824343</c:v>
                </c:pt>
                <c:pt idx="13">
                  <c:v>3.3729715393993023</c:v>
                </c:pt>
                <c:pt idx="14">
                  <c:v>2.3052380778996162</c:v>
                </c:pt>
                <c:pt idx="15">
                  <c:v>2.8372306860824343</c:v>
                </c:pt>
                <c:pt idx="16">
                  <c:v>2.3052380778996162</c:v>
                </c:pt>
                <c:pt idx="17">
                  <c:v>3.0958246511385541</c:v>
                </c:pt>
                <c:pt idx="18">
                  <c:v>3.3729715393993023</c:v>
                </c:pt>
                <c:pt idx="19">
                  <c:v>3.3729715393993023</c:v>
                </c:pt>
                <c:pt idx="20">
                  <c:v>3.3729715393993023</c:v>
                </c:pt>
                <c:pt idx="21">
                  <c:v>3.0958246511385541</c:v>
                </c:pt>
                <c:pt idx="22">
                  <c:v>2.3052380778996162</c:v>
                </c:pt>
                <c:pt idx="23">
                  <c:v>3.0958246511385541</c:v>
                </c:pt>
                <c:pt idx="24">
                  <c:v>2.8372306860824343</c:v>
                </c:pt>
                <c:pt idx="25">
                  <c:v>2.3052380778996162</c:v>
                </c:pt>
                <c:pt idx="26">
                  <c:v>3.0958246511385541</c:v>
                </c:pt>
                <c:pt idx="27">
                  <c:v>3.0958246511385541</c:v>
                </c:pt>
                <c:pt idx="28">
                  <c:v>3.3729715393993023</c:v>
                </c:pt>
                <c:pt idx="29">
                  <c:v>3.3729715393993023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02-C941-9385-83742660D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108392"/>
        <c:axId val="2127117960"/>
      </c:scatterChart>
      <c:valAx>
        <c:axId val="2127108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Period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117960"/>
        <c:crosses val="autoZero"/>
        <c:crossBetween val="midCat"/>
      </c:valAx>
      <c:valAx>
        <c:axId val="2127117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ln(x)</a:t>
                </a:r>
                <a:r>
                  <a:rPr lang="en-US" baseline="0"/>
                  <a:t> Utility Function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108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Neha's Utility Across</a:t>
            </a:r>
            <a:r>
              <a:rPr lang="en-US" baseline="0"/>
              <a:t>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'Question 4'!$I$2</c:f>
              <c:strCache>
                <c:ptCount val="1"/>
                <c:pt idx="0">
                  <c:v>U Neha Autarky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'Question 4'!$G$3:$G$32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'Question 4'!$I$3:$I$32</c:f>
              <c:numCache>
                <c:formatCode>0.0</c:formatCode>
                <c:ptCount val="30"/>
                <c:pt idx="0">
                  <c:v>8.985986624850387</c:v>
                </c:pt>
                <c:pt idx="1">
                  <c:v>26.933787338750172</c:v>
                </c:pt>
                <c:pt idx="2">
                  <c:v>26.933787338750172</c:v>
                </c:pt>
                <c:pt idx="3">
                  <c:v>8.985986624850387</c:v>
                </c:pt>
                <c:pt idx="4">
                  <c:v>26.933787338750172</c:v>
                </c:pt>
                <c:pt idx="5">
                  <c:v>8.985986624850387</c:v>
                </c:pt>
                <c:pt idx="6">
                  <c:v>8.985986624850387</c:v>
                </c:pt>
                <c:pt idx="7">
                  <c:v>26.933787338750172</c:v>
                </c:pt>
                <c:pt idx="8">
                  <c:v>26.933787338750172</c:v>
                </c:pt>
                <c:pt idx="9">
                  <c:v>8.985986624850387</c:v>
                </c:pt>
                <c:pt idx="10">
                  <c:v>8.985986624850387</c:v>
                </c:pt>
                <c:pt idx="11">
                  <c:v>26.933787338750172</c:v>
                </c:pt>
                <c:pt idx="12">
                  <c:v>26.933787338750172</c:v>
                </c:pt>
                <c:pt idx="13">
                  <c:v>26.933787338750172</c:v>
                </c:pt>
                <c:pt idx="14">
                  <c:v>8.985986624850387</c:v>
                </c:pt>
                <c:pt idx="15">
                  <c:v>26.933787338750172</c:v>
                </c:pt>
                <c:pt idx="16">
                  <c:v>8.985986624850387</c:v>
                </c:pt>
                <c:pt idx="17">
                  <c:v>8.985986624850387</c:v>
                </c:pt>
                <c:pt idx="18">
                  <c:v>26.933787338750172</c:v>
                </c:pt>
                <c:pt idx="19">
                  <c:v>26.933787338750172</c:v>
                </c:pt>
                <c:pt idx="20">
                  <c:v>26.933787338750172</c:v>
                </c:pt>
                <c:pt idx="21">
                  <c:v>8.985986624850387</c:v>
                </c:pt>
                <c:pt idx="22">
                  <c:v>8.985986624850387</c:v>
                </c:pt>
                <c:pt idx="23">
                  <c:v>8.985986624850387</c:v>
                </c:pt>
                <c:pt idx="24">
                  <c:v>26.933787338750172</c:v>
                </c:pt>
                <c:pt idx="25">
                  <c:v>8.985986624850387</c:v>
                </c:pt>
                <c:pt idx="26">
                  <c:v>8.985986624850387</c:v>
                </c:pt>
                <c:pt idx="27">
                  <c:v>8.985986624850387</c:v>
                </c:pt>
                <c:pt idx="28">
                  <c:v>26.933787338750172</c:v>
                </c:pt>
                <c:pt idx="29">
                  <c:v>26.933787338750172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8D-514B-9A26-6BB45A601F2D}"/>
            </c:ext>
          </c:extLst>
        </c:ser>
        <c:ser>
          <c:idx val="1"/>
          <c:order val="1"/>
          <c:tx>
            <c:strRef>
              <c:f>'Question 4'!$O$2</c:f>
              <c:strCache>
                <c:ptCount val="1"/>
                <c:pt idx="0">
                  <c:v>U Neha 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'Question 4'!$G$3:$G$32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'Question 4'!$O$3:$O$32</c:f>
              <c:numCache>
                <c:formatCode>0.0</c:formatCode>
                <c:ptCount val="30"/>
                <c:pt idx="0">
                  <c:v>14.970670692325438</c:v>
                </c:pt>
                <c:pt idx="1">
                  <c:v>25.937095983927971</c:v>
                </c:pt>
                <c:pt idx="2">
                  <c:v>19.95611837421421</c:v>
                </c:pt>
                <c:pt idx="3">
                  <c:v>14.970670692325438</c:v>
                </c:pt>
                <c:pt idx="4">
                  <c:v>19.95611837421421</c:v>
                </c:pt>
                <c:pt idx="5">
                  <c:v>8.985986624850387</c:v>
                </c:pt>
                <c:pt idx="6">
                  <c:v>8.985986624850387</c:v>
                </c:pt>
                <c:pt idx="7">
                  <c:v>25.937095983927971</c:v>
                </c:pt>
                <c:pt idx="8">
                  <c:v>25.937095983927971</c:v>
                </c:pt>
                <c:pt idx="9">
                  <c:v>14.970670692325438</c:v>
                </c:pt>
                <c:pt idx="10">
                  <c:v>8.985986624850387</c:v>
                </c:pt>
                <c:pt idx="11">
                  <c:v>25.937095983927971</c:v>
                </c:pt>
                <c:pt idx="12">
                  <c:v>19.95611837421421</c:v>
                </c:pt>
                <c:pt idx="13">
                  <c:v>25.937095983927971</c:v>
                </c:pt>
                <c:pt idx="14">
                  <c:v>8.985986624850387</c:v>
                </c:pt>
                <c:pt idx="15">
                  <c:v>19.95611837421421</c:v>
                </c:pt>
                <c:pt idx="16">
                  <c:v>8.985986624850387</c:v>
                </c:pt>
                <c:pt idx="17">
                  <c:v>14.970670692325438</c:v>
                </c:pt>
                <c:pt idx="18">
                  <c:v>25.937095983927971</c:v>
                </c:pt>
                <c:pt idx="19">
                  <c:v>25.937095983927971</c:v>
                </c:pt>
                <c:pt idx="20">
                  <c:v>25.937095983927971</c:v>
                </c:pt>
                <c:pt idx="21">
                  <c:v>14.970670692325438</c:v>
                </c:pt>
                <c:pt idx="22">
                  <c:v>8.985986624850387</c:v>
                </c:pt>
                <c:pt idx="23">
                  <c:v>14.970670692325438</c:v>
                </c:pt>
                <c:pt idx="24">
                  <c:v>19.95611837421421</c:v>
                </c:pt>
                <c:pt idx="25">
                  <c:v>8.985986624850387</c:v>
                </c:pt>
                <c:pt idx="26">
                  <c:v>14.970670692325438</c:v>
                </c:pt>
                <c:pt idx="27">
                  <c:v>14.970670692325438</c:v>
                </c:pt>
                <c:pt idx="28">
                  <c:v>25.937095983927971</c:v>
                </c:pt>
                <c:pt idx="29">
                  <c:v>25.937095983927971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8D-514B-9A26-6BB45A601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165272"/>
        <c:axId val="2127174616"/>
      </c:scatterChart>
      <c:valAx>
        <c:axId val="2127165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Period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174616"/>
        <c:crosses val="autoZero"/>
        <c:crossBetween val="midCat"/>
      </c:valAx>
      <c:valAx>
        <c:axId val="2127174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x-1</a:t>
                </a:r>
                <a:r>
                  <a:rPr lang="en-US" baseline="0"/>
                  <a:t> Utility Function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165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15</xdr:row>
          <xdr:rowOff>28575</xdr:rowOff>
        </xdr:from>
        <xdr:to>
          <xdr:col>18</xdr:col>
          <xdr:colOff>609600</xdr:colOff>
          <xdr:row>16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 State and Yield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34</xdr:row>
      <xdr:rowOff>4234</xdr:rowOff>
    </xdr:from>
    <xdr:to>
      <xdr:col>11</xdr:col>
      <xdr:colOff>426156</xdr:colOff>
      <xdr:row>47</xdr:row>
      <xdr:rowOff>179212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101600</xdr:colOff>
      <xdr:row>34</xdr:row>
      <xdr:rowOff>18345</xdr:rowOff>
    </xdr:from>
    <xdr:to>
      <xdr:col>17</xdr:col>
      <xdr:colOff>510822</xdr:colOff>
      <xdr:row>47</xdr:row>
      <xdr:rowOff>193323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15</xdr:row>
          <xdr:rowOff>28575</xdr:rowOff>
        </xdr:from>
        <xdr:to>
          <xdr:col>18</xdr:col>
          <xdr:colOff>609600</xdr:colOff>
          <xdr:row>16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 State and Yield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14110</xdr:colOff>
      <xdr:row>33</xdr:row>
      <xdr:rowOff>14112</xdr:rowOff>
    </xdr:from>
    <xdr:to>
      <xdr:col>12</xdr:col>
      <xdr:colOff>440267</xdr:colOff>
      <xdr:row>46</xdr:row>
      <xdr:rowOff>189089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115710</xdr:colOff>
      <xdr:row>33</xdr:row>
      <xdr:rowOff>28223</xdr:rowOff>
    </xdr:from>
    <xdr:to>
      <xdr:col>18</xdr:col>
      <xdr:colOff>524932</xdr:colOff>
      <xdr:row>47</xdr:row>
      <xdr:rowOff>5645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14</xdr:row>
          <xdr:rowOff>9525</xdr:rowOff>
        </xdr:from>
        <xdr:to>
          <xdr:col>18</xdr:col>
          <xdr:colOff>600075</xdr:colOff>
          <xdr:row>15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 State and Yield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34</xdr:row>
      <xdr:rowOff>4234</xdr:rowOff>
    </xdr:from>
    <xdr:to>
      <xdr:col>11</xdr:col>
      <xdr:colOff>426156</xdr:colOff>
      <xdr:row>47</xdr:row>
      <xdr:rowOff>179212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101600</xdr:colOff>
      <xdr:row>34</xdr:row>
      <xdr:rowOff>18345</xdr:rowOff>
    </xdr:from>
    <xdr:to>
      <xdr:col>17</xdr:col>
      <xdr:colOff>510822</xdr:colOff>
      <xdr:row>47</xdr:row>
      <xdr:rowOff>193323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15</xdr:row>
          <xdr:rowOff>28575</xdr:rowOff>
        </xdr:from>
        <xdr:to>
          <xdr:col>18</xdr:col>
          <xdr:colOff>609600</xdr:colOff>
          <xdr:row>16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 State and Yield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34</xdr:row>
      <xdr:rowOff>4234</xdr:rowOff>
    </xdr:from>
    <xdr:to>
      <xdr:col>11</xdr:col>
      <xdr:colOff>426156</xdr:colOff>
      <xdr:row>47</xdr:row>
      <xdr:rowOff>179212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101600</xdr:colOff>
      <xdr:row>34</xdr:row>
      <xdr:rowOff>18345</xdr:rowOff>
    </xdr:from>
    <xdr:to>
      <xdr:col>17</xdr:col>
      <xdr:colOff>510822</xdr:colOff>
      <xdr:row>47</xdr:row>
      <xdr:rowOff>193323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38"/>
  <sheetViews>
    <sheetView zoomScale="90" zoomScaleNormal="90" zoomScalePageLayoutView="90" workbookViewId="0">
      <selection activeCell="O17" sqref="O17"/>
    </sheetView>
  </sheetViews>
  <sheetFormatPr defaultColWidth="11" defaultRowHeight="15.75" x14ac:dyDescent="0.25"/>
  <cols>
    <col min="1" max="1" width="12" customWidth="1"/>
    <col min="2" max="2" width="11" customWidth="1"/>
    <col min="20" max="20" width="13.5" bestFit="1" customWidth="1"/>
  </cols>
  <sheetData>
    <row r="1" spans="1:21" x14ac:dyDescent="0.25">
      <c r="A1" t="s">
        <v>52</v>
      </c>
      <c r="F1" t="s">
        <v>30</v>
      </c>
      <c r="J1" t="s">
        <v>55</v>
      </c>
      <c r="Q1" t="s">
        <v>13</v>
      </c>
    </row>
    <row r="2" spans="1:21" x14ac:dyDescent="0.25">
      <c r="A2" t="s">
        <v>0</v>
      </c>
      <c r="B2" t="s">
        <v>23</v>
      </c>
      <c r="C2" t="s">
        <v>22</v>
      </c>
      <c r="D2" t="s">
        <v>8</v>
      </c>
      <c r="F2" t="s">
        <v>0</v>
      </c>
      <c r="G2" t="s">
        <v>25</v>
      </c>
      <c r="H2" t="s">
        <v>24</v>
      </c>
      <c r="J2" t="s">
        <v>0</v>
      </c>
      <c r="K2" t="s">
        <v>53</v>
      </c>
      <c r="L2" t="s">
        <v>54</v>
      </c>
      <c r="M2" t="s">
        <v>26</v>
      </c>
      <c r="N2" t="s">
        <v>27</v>
      </c>
      <c r="Q2" t="s">
        <v>2</v>
      </c>
    </row>
    <row r="3" spans="1:21" x14ac:dyDescent="0.25">
      <c r="A3">
        <v>1</v>
      </c>
      <c r="B3" s="27">
        <v>10</v>
      </c>
      <c r="C3" s="27">
        <v>10</v>
      </c>
      <c r="D3">
        <v>0</v>
      </c>
      <c r="E3">
        <v>0</v>
      </c>
      <c r="F3">
        <v>1</v>
      </c>
      <c r="G3" s="16">
        <f t="shared" ref="G3:G32" si="0">(POWER(B3, 1-$R$4)-1)/(1-$R$4)</f>
        <v>2.3052380778996162</v>
      </c>
      <c r="H3" s="17">
        <f t="shared" ref="H3:H32" si="1">(POWER(C3, 1-$T$4)-1)/(1-$T$4)</f>
        <v>8.985986624850387</v>
      </c>
      <c r="J3">
        <v>1</v>
      </c>
      <c r="K3" s="17">
        <f t="shared" ref="K3:K32" si="2">B3-D3*$T$10+(1-D3)*$T$11</f>
        <v>19</v>
      </c>
      <c r="L3" s="17">
        <f t="shared" ref="L3:L32" si="3">C3+D3*$T$10-(1-D3)*$T$11</f>
        <v>1</v>
      </c>
      <c r="M3" s="16">
        <f t="shared" ref="M3:M32" si="4">(POWER(B3-D3*$T$10+(1-D3)*$T$11, 1-$R$4)-1)/(1-$R$4)</f>
        <v>2.9487780973285167</v>
      </c>
      <c r="N3" s="17">
        <f t="shared" ref="N3:N32" si="5">(POWER(C3+D3*$T$10-(1-D3)*$T$11, 1-$T$4)-1)/(1-$T$4)</f>
        <v>0</v>
      </c>
      <c r="Q3" t="s">
        <v>14</v>
      </c>
      <c r="S3" t="s">
        <v>15</v>
      </c>
    </row>
    <row r="4" spans="1:21" x14ac:dyDescent="0.25">
      <c r="A4">
        <v>2</v>
      </c>
      <c r="B4" s="27">
        <v>28</v>
      </c>
      <c r="C4" s="27">
        <v>28</v>
      </c>
      <c r="D4">
        <v>1</v>
      </c>
      <c r="E4">
        <v>0</v>
      </c>
      <c r="F4">
        <v>2</v>
      </c>
      <c r="G4" s="16">
        <f t="shared" si="0"/>
        <v>3.3377624753350124</v>
      </c>
      <c r="H4" s="17">
        <f t="shared" si="1"/>
        <v>26.933787338750172</v>
      </c>
      <c r="J4">
        <v>2</v>
      </c>
      <c r="K4" s="17">
        <f t="shared" si="2"/>
        <v>19</v>
      </c>
      <c r="L4" s="17">
        <f t="shared" si="3"/>
        <v>37</v>
      </c>
      <c r="M4" s="16">
        <f t="shared" si="4"/>
        <v>2.9487780973285167</v>
      </c>
      <c r="N4" s="17">
        <f t="shared" si="5"/>
        <v>35.902539503130754</v>
      </c>
      <c r="Q4" t="s">
        <v>3</v>
      </c>
      <c r="R4" s="12">
        <v>0.999</v>
      </c>
      <c r="S4" t="s">
        <v>3</v>
      </c>
      <c r="T4" s="13">
        <v>1E-3</v>
      </c>
      <c r="U4" t="s">
        <v>9</v>
      </c>
    </row>
    <row r="5" spans="1:21" x14ac:dyDescent="0.25">
      <c r="A5">
        <v>3</v>
      </c>
      <c r="B5" s="27">
        <v>10</v>
      </c>
      <c r="C5" s="27">
        <v>10</v>
      </c>
      <c r="D5">
        <v>0</v>
      </c>
      <c r="E5">
        <v>0</v>
      </c>
      <c r="F5">
        <v>3</v>
      </c>
      <c r="G5" s="16">
        <f t="shared" si="0"/>
        <v>2.3052380778996162</v>
      </c>
      <c r="H5" s="17">
        <f t="shared" si="1"/>
        <v>8.985986624850387</v>
      </c>
      <c r="J5">
        <v>3</v>
      </c>
      <c r="K5" s="17">
        <f t="shared" si="2"/>
        <v>19</v>
      </c>
      <c r="L5" s="17">
        <f t="shared" si="3"/>
        <v>1</v>
      </c>
      <c r="M5" s="16">
        <f t="shared" si="4"/>
        <v>2.9487780973285167</v>
      </c>
      <c r="N5" s="17">
        <f t="shared" si="5"/>
        <v>0</v>
      </c>
      <c r="R5" s="12"/>
      <c r="T5" s="13"/>
    </row>
    <row r="6" spans="1:21" x14ac:dyDescent="0.25">
      <c r="A6">
        <v>4</v>
      </c>
      <c r="B6" s="27">
        <v>28</v>
      </c>
      <c r="C6" s="27">
        <v>28</v>
      </c>
      <c r="D6">
        <v>1</v>
      </c>
      <c r="E6">
        <v>0</v>
      </c>
      <c r="F6">
        <v>4</v>
      </c>
      <c r="G6" s="16">
        <f t="shared" si="0"/>
        <v>3.3377624753350124</v>
      </c>
      <c r="H6" s="17">
        <f t="shared" si="1"/>
        <v>26.933787338750172</v>
      </c>
      <c r="J6">
        <v>4</v>
      </c>
      <c r="K6" s="17">
        <f t="shared" si="2"/>
        <v>19</v>
      </c>
      <c r="L6" s="17">
        <f t="shared" si="3"/>
        <v>37</v>
      </c>
      <c r="M6" s="16">
        <f t="shared" si="4"/>
        <v>2.9487780973285167</v>
      </c>
      <c r="N6" s="17">
        <f t="shared" si="5"/>
        <v>35.902539503130754</v>
      </c>
      <c r="Q6" t="s">
        <v>31</v>
      </c>
      <c r="R6" s="12">
        <v>10</v>
      </c>
      <c r="T6" s="13">
        <v>10</v>
      </c>
      <c r="U6" t="s">
        <v>33</v>
      </c>
    </row>
    <row r="7" spans="1:21" x14ac:dyDescent="0.25">
      <c r="A7">
        <v>5</v>
      </c>
      <c r="B7" s="27">
        <v>28</v>
      </c>
      <c r="C7" s="27">
        <v>28</v>
      </c>
      <c r="D7">
        <v>1</v>
      </c>
      <c r="E7">
        <v>1</v>
      </c>
      <c r="F7">
        <v>5</v>
      </c>
      <c r="G7" s="16">
        <f t="shared" si="0"/>
        <v>3.3377624753350124</v>
      </c>
      <c r="H7" s="17">
        <f t="shared" si="1"/>
        <v>26.933787338750172</v>
      </c>
      <c r="J7">
        <v>5</v>
      </c>
      <c r="K7" s="17">
        <f t="shared" si="2"/>
        <v>19</v>
      </c>
      <c r="L7" s="17">
        <f t="shared" si="3"/>
        <v>37</v>
      </c>
      <c r="M7" s="16">
        <f t="shared" si="4"/>
        <v>2.9487780973285167</v>
      </c>
      <c r="N7" s="17">
        <f t="shared" si="5"/>
        <v>35.902539503130754</v>
      </c>
      <c r="Q7" t="s">
        <v>32</v>
      </c>
      <c r="R7" s="12">
        <v>28</v>
      </c>
      <c r="T7" s="13">
        <v>28</v>
      </c>
      <c r="U7" t="s">
        <v>34</v>
      </c>
    </row>
    <row r="8" spans="1:21" x14ac:dyDescent="0.25">
      <c r="A8">
        <v>6</v>
      </c>
      <c r="B8" s="27">
        <v>10</v>
      </c>
      <c r="C8" s="27">
        <v>10</v>
      </c>
      <c r="D8">
        <v>0</v>
      </c>
      <c r="E8">
        <v>1</v>
      </c>
      <c r="F8">
        <v>6</v>
      </c>
      <c r="G8" s="16">
        <f t="shared" si="0"/>
        <v>2.3052380778996162</v>
      </c>
      <c r="H8" s="17">
        <f t="shared" si="1"/>
        <v>8.985986624850387</v>
      </c>
      <c r="J8">
        <v>6</v>
      </c>
      <c r="K8" s="17">
        <f t="shared" si="2"/>
        <v>19</v>
      </c>
      <c r="L8" s="17">
        <f t="shared" si="3"/>
        <v>1</v>
      </c>
      <c r="M8" s="16">
        <f t="shared" si="4"/>
        <v>2.9487780973285167</v>
      </c>
      <c r="N8" s="17">
        <f t="shared" si="5"/>
        <v>0</v>
      </c>
      <c r="Q8" t="s">
        <v>10</v>
      </c>
      <c r="R8" t="s">
        <v>4</v>
      </c>
      <c r="S8" t="s">
        <v>10</v>
      </c>
      <c r="T8" t="s">
        <v>5</v>
      </c>
    </row>
    <row r="9" spans="1:21" x14ac:dyDescent="0.25">
      <c r="A9">
        <v>7</v>
      </c>
      <c r="B9" s="27">
        <v>28</v>
      </c>
      <c r="C9" s="27">
        <v>28</v>
      </c>
      <c r="D9">
        <v>1</v>
      </c>
      <c r="E9">
        <v>1</v>
      </c>
      <c r="F9">
        <v>7</v>
      </c>
      <c r="G9" s="16">
        <f t="shared" si="0"/>
        <v>3.3377624753350124</v>
      </c>
      <c r="H9" s="17">
        <f t="shared" si="1"/>
        <v>26.933787338750172</v>
      </c>
      <c r="J9">
        <v>7</v>
      </c>
      <c r="K9" s="17">
        <f t="shared" si="2"/>
        <v>19</v>
      </c>
      <c r="L9" s="17">
        <f t="shared" si="3"/>
        <v>37</v>
      </c>
      <c r="M9" s="16">
        <f t="shared" si="4"/>
        <v>2.9487780973285167</v>
      </c>
      <c r="N9" s="17">
        <f t="shared" si="5"/>
        <v>35.902539503130754</v>
      </c>
      <c r="R9" t="s">
        <v>11</v>
      </c>
      <c r="T9" t="s">
        <v>12</v>
      </c>
    </row>
    <row r="10" spans="1:21" x14ac:dyDescent="0.25">
      <c r="A10">
        <v>8</v>
      </c>
      <c r="B10" s="27">
        <v>10</v>
      </c>
      <c r="C10" s="27">
        <v>10</v>
      </c>
      <c r="D10">
        <v>0</v>
      </c>
      <c r="E10">
        <v>0</v>
      </c>
      <c r="F10">
        <v>8</v>
      </c>
      <c r="G10" s="16">
        <f t="shared" si="0"/>
        <v>2.3052380778996162</v>
      </c>
      <c r="H10" s="17">
        <f t="shared" si="1"/>
        <v>8.985986624850387</v>
      </c>
      <c r="J10">
        <v>8</v>
      </c>
      <c r="K10" s="17">
        <f t="shared" si="2"/>
        <v>19</v>
      </c>
      <c r="L10" s="17">
        <f t="shared" si="3"/>
        <v>1</v>
      </c>
      <c r="M10" s="16">
        <f t="shared" si="4"/>
        <v>2.9487780973285167</v>
      </c>
      <c r="N10" s="17">
        <f t="shared" si="5"/>
        <v>0</v>
      </c>
      <c r="Q10" t="s">
        <v>36</v>
      </c>
      <c r="T10" s="15">
        <v>9</v>
      </c>
    </row>
    <row r="11" spans="1:21" x14ac:dyDescent="0.25">
      <c r="A11">
        <v>9</v>
      </c>
      <c r="B11" s="27">
        <v>10</v>
      </c>
      <c r="C11" s="27">
        <v>10</v>
      </c>
      <c r="D11">
        <v>0</v>
      </c>
      <c r="E11">
        <v>0</v>
      </c>
      <c r="F11">
        <v>9</v>
      </c>
      <c r="G11" s="16">
        <f t="shared" si="0"/>
        <v>2.3052380778996162</v>
      </c>
      <c r="H11" s="17">
        <f t="shared" si="1"/>
        <v>8.985986624850387</v>
      </c>
      <c r="J11">
        <v>9</v>
      </c>
      <c r="K11" s="17">
        <f t="shared" si="2"/>
        <v>19</v>
      </c>
      <c r="L11" s="17">
        <f t="shared" si="3"/>
        <v>1</v>
      </c>
      <c r="M11" s="16">
        <f t="shared" si="4"/>
        <v>2.9487780973285167</v>
      </c>
      <c r="N11" s="17">
        <f t="shared" si="5"/>
        <v>0</v>
      </c>
      <c r="Q11" t="s">
        <v>48</v>
      </c>
      <c r="T11" s="15">
        <v>9</v>
      </c>
    </row>
    <row r="12" spans="1:21" x14ac:dyDescent="0.25">
      <c r="A12">
        <v>10</v>
      </c>
      <c r="B12" s="27">
        <v>28</v>
      </c>
      <c r="C12" s="27">
        <v>28</v>
      </c>
      <c r="D12">
        <v>1</v>
      </c>
      <c r="E12">
        <v>0</v>
      </c>
      <c r="F12">
        <v>10</v>
      </c>
      <c r="G12" s="16">
        <f t="shared" si="0"/>
        <v>3.3377624753350124</v>
      </c>
      <c r="H12" s="17">
        <f t="shared" si="1"/>
        <v>26.933787338750172</v>
      </c>
      <c r="J12">
        <v>10</v>
      </c>
      <c r="K12" s="17">
        <f t="shared" si="2"/>
        <v>19</v>
      </c>
      <c r="L12" s="17">
        <f t="shared" si="3"/>
        <v>37</v>
      </c>
      <c r="M12" s="16">
        <f t="shared" si="4"/>
        <v>2.9487780973285167</v>
      </c>
      <c r="N12" s="17">
        <f t="shared" si="5"/>
        <v>35.902539503130754</v>
      </c>
    </row>
    <row r="13" spans="1:21" x14ac:dyDescent="0.25">
      <c r="A13">
        <v>11</v>
      </c>
      <c r="B13" s="27">
        <v>10</v>
      </c>
      <c r="C13" s="27">
        <v>10</v>
      </c>
      <c r="D13">
        <v>0</v>
      </c>
      <c r="E13">
        <v>0</v>
      </c>
      <c r="F13">
        <v>11</v>
      </c>
      <c r="G13" s="16">
        <f t="shared" si="0"/>
        <v>2.3052380778996162</v>
      </c>
      <c r="H13" s="17">
        <f t="shared" si="1"/>
        <v>8.985986624850387</v>
      </c>
      <c r="J13">
        <v>11</v>
      </c>
      <c r="K13" s="17">
        <f t="shared" si="2"/>
        <v>19</v>
      </c>
      <c r="L13" s="17">
        <f t="shared" si="3"/>
        <v>1</v>
      </c>
      <c r="M13" s="16">
        <f t="shared" si="4"/>
        <v>2.9487780973285167</v>
      </c>
      <c r="N13" s="17">
        <f t="shared" si="5"/>
        <v>0</v>
      </c>
      <c r="Q13" t="s">
        <v>40</v>
      </c>
    </row>
    <row r="14" spans="1:21" x14ac:dyDescent="0.25">
      <c r="A14">
        <v>12</v>
      </c>
      <c r="B14" s="27">
        <v>28</v>
      </c>
      <c r="C14" s="27">
        <v>28</v>
      </c>
      <c r="D14">
        <v>1</v>
      </c>
      <c r="E14">
        <v>1</v>
      </c>
      <c r="F14">
        <v>12</v>
      </c>
      <c r="G14" s="16">
        <f t="shared" si="0"/>
        <v>3.3377624753350124</v>
      </c>
      <c r="H14" s="17">
        <f t="shared" si="1"/>
        <v>26.933787338750172</v>
      </c>
      <c r="J14">
        <v>12</v>
      </c>
      <c r="K14" s="17">
        <f t="shared" si="2"/>
        <v>19</v>
      </c>
      <c r="L14" s="17">
        <f t="shared" si="3"/>
        <v>37</v>
      </c>
      <c r="M14" s="16">
        <f t="shared" si="4"/>
        <v>2.9487780973285167</v>
      </c>
      <c r="N14" s="17">
        <f t="shared" si="5"/>
        <v>35.902539503130754</v>
      </c>
    </row>
    <row r="15" spans="1:21" x14ac:dyDescent="0.25">
      <c r="A15">
        <v>13</v>
      </c>
      <c r="B15" s="27">
        <v>28</v>
      </c>
      <c r="C15" s="27">
        <v>28</v>
      </c>
      <c r="D15">
        <v>1</v>
      </c>
      <c r="E15">
        <v>1</v>
      </c>
      <c r="F15">
        <v>13</v>
      </c>
      <c r="G15" s="16">
        <f t="shared" si="0"/>
        <v>3.3377624753350124</v>
      </c>
      <c r="H15" s="17">
        <f t="shared" si="1"/>
        <v>26.933787338750172</v>
      </c>
      <c r="J15">
        <v>13</v>
      </c>
      <c r="K15" s="17">
        <f t="shared" si="2"/>
        <v>19</v>
      </c>
      <c r="L15" s="17">
        <f t="shared" si="3"/>
        <v>37</v>
      </c>
      <c r="M15" s="16">
        <f t="shared" si="4"/>
        <v>2.9487780973285167</v>
      </c>
      <c r="N15" s="17">
        <f t="shared" si="5"/>
        <v>35.902539503130754</v>
      </c>
    </row>
    <row r="16" spans="1:21" x14ac:dyDescent="0.25">
      <c r="A16">
        <v>14</v>
      </c>
      <c r="B16" s="27">
        <v>10</v>
      </c>
      <c r="C16" s="27">
        <v>10</v>
      </c>
      <c r="D16">
        <v>0</v>
      </c>
      <c r="E16">
        <v>1</v>
      </c>
      <c r="F16">
        <v>14</v>
      </c>
      <c r="G16" s="16">
        <f t="shared" si="0"/>
        <v>2.3052380778996162</v>
      </c>
      <c r="H16" s="17">
        <f t="shared" si="1"/>
        <v>8.985986624850387</v>
      </c>
      <c r="J16">
        <v>14</v>
      </c>
      <c r="K16" s="17">
        <f t="shared" si="2"/>
        <v>19</v>
      </c>
      <c r="L16" s="17">
        <f t="shared" si="3"/>
        <v>1</v>
      </c>
      <c r="M16" s="16">
        <f t="shared" si="4"/>
        <v>2.9487780973285167</v>
      </c>
      <c r="N16" s="17">
        <f t="shared" si="5"/>
        <v>0</v>
      </c>
    </row>
    <row r="17" spans="1:21" x14ac:dyDescent="0.25">
      <c r="A17">
        <v>15</v>
      </c>
      <c r="B17" s="27">
        <v>28</v>
      </c>
      <c r="C17" s="27">
        <v>28</v>
      </c>
      <c r="D17">
        <v>1</v>
      </c>
      <c r="E17">
        <v>0</v>
      </c>
      <c r="F17">
        <v>15</v>
      </c>
      <c r="G17" s="16">
        <f t="shared" si="0"/>
        <v>3.3377624753350124</v>
      </c>
      <c r="H17" s="17">
        <f t="shared" si="1"/>
        <v>26.933787338750172</v>
      </c>
      <c r="J17">
        <v>15</v>
      </c>
      <c r="K17" s="17">
        <f t="shared" si="2"/>
        <v>19</v>
      </c>
      <c r="L17" s="17">
        <f t="shared" si="3"/>
        <v>37</v>
      </c>
      <c r="M17" s="16">
        <f t="shared" si="4"/>
        <v>2.9487780973285167</v>
      </c>
      <c r="N17" s="17">
        <f t="shared" si="5"/>
        <v>35.902539503130754</v>
      </c>
    </row>
    <row r="18" spans="1:21" x14ac:dyDescent="0.25">
      <c r="A18">
        <v>16</v>
      </c>
      <c r="B18" s="27">
        <v>28</v>
      </c>
      <c r="C18" s="27">
        <v>28</v>
      </c>
      <c r="D18">
        <v>1</v>
      </c>
      <c r="E18">
        <v>0</v>
      </c>
      <c r="F18">
        <v>16</v>
      </c>
      <c r="G18" s="16">
        <f t="shared" si="0"/>
        <v>3.3377624753350124</v>
      </c>
      <c r="H18" s="17">
        <f t="shared" si="1"/>
        <v>26.933787338750172</v>
      </c>
      <c r="J18">
        <v>16</v>
      </c>
      <c r="K18" s="17">
        <f t="shared" si="2"/>
        <v>19</v>
      </c>
      <c r="L18" s="17">
        <f t="shared" si="3"/>
        <v>37</v>
      </c>
      <c r="M18" s="16">
        <f t="shared" si="4"/>
        <v>2.9487780973285167</v>
      </c>
      <c r="N18" s="17">
        <f t="shared" si="5"/>
        <v>35.902539503130754</v>
      </c>
      <c r="Q18" s="2"/>
      <c r="R18" s="10" t="s">
        <v>21</v>
      </c>
      <c r="S18" s="9"/>
    </row>
    <row r="19" spans="1:21" x14ac:dyDescent="0.25">
      <c r="A19">
        <v>17</v>
      </c>
      <c r="B19" s="27">
        <v>10</v>
      </c>
      <c r="C19" s="27">
        <v>10</v>
      </c>
      <c r="D19">
        <v>0</v>
      </c>
      <c r="E19">
        <v>1</v>
      </c>
      <c r="F19">
        <v>17</v>
      </c>
      <c r="G19" s="16">
        <f t="shared" si="0"/>
        <v>2.3052380778996162</v>
      </c>
      <c r="H19" s="17">
        <f t="shared" si="1"/>
        <v>8.985986624850387</v>
      </c>
      <c r="J19">
        <v>17</v>
      </c>
      <c r="K19" s="17">
        <f t="shared" si="2"/>
        <v>19</v>
      </c>
      <c r="L19" s="17">
        <f t="shared" si="3"/>
        <v>1</v>
      </c>
      <c r="M19" s="16">
        <f t="shared" si="4"/>
        <v>2.9487780973285167</v>
      </c>
      <c r="N19" s="17">
        <f t="shared" si="5"/>
        <v>0</v>
      </c>
      <c r="Q19" s="8"/>
      <c r="R19" s="1" t="s">
        <v>6</v>
      </c>
      <c r="S19" s="1" t="s">
        <v>7</v>
      </c>
    </row>
    <row r="20" spans="1:21" x14ac:dyDescent="0.25">
      <c r="A20">
        <v>18</v>
      </c>
      <c r="B20" s="27">
        <v>28</v>
      </c>
      <c r="C20" s="27">
        <v>28</v>
      </c>
      <c r="D20">
        <v>1</v>
      </c>
      <c r="E20">
        <v>0</v>
      </c>
      <c r="F20">
        <v>18</v>
      </c>
      <c r="G20" s="16">
        <f t="shared" si="0"/>
        <v>3.3377624753350124</v>
      </c>
      <c r="H20" s="17">
        <f t="shared" si="1"/>
        <v>26.933787338750172</v>
      </c>
      <c r="J20">
        <v>18</v>
      </c>
      <c r="K20" s="17">
        <f t="shared" si="2"/>
        <v>19</v>
      </c>
      <c r="L20" s="17">
        <f t="shared" si="3"/>
        <v>37</v>
      </c>
      <c r="M20" s="16">
        <f t="shared" si="4"/>
        <v>2.9487780973285167</v>
      </c>
      <c r="N20" s="17">
        <f t="shared" si="5"/>
        <v>35.902539503130754</v>
      </c>
      <c r="Q20" s="1" t="s">
        <v>39</v>
      </c>
      <c r="R20" s="1">
        <f>R7</f>
        <v>28</v>
      </c>
      <c r="S20" s="1">
        <f>R6</f>
        <v>10</v>
      </c>
      <c r="T20" t="s">
        <v>37</v>
      </c>
    </row>
    <row r="21" spans="1:21" x14ac:dyDescent="0.25">
      <c r="A21">
        <v>19</v>
      </c>
      <c r="B21" s="27">
        <v>10</v>
      </c>
      <c r="C21" s="27">
        <v>10</v>
      </c>
      <c r="D21">
        <v>0</v>
      </c>
      <c r="E21">
        <v>0</v>
      </c>
      <c r="F21">
        <v>19</v>
      </c>
      <c r="G21" s="16">
        <f t="shared" si="0"/>
        <v>2.3052380778996162</v>
      </c>
      <c r="H21" s="17">
        <f t="shared" si="1"/>
        <v>8.985986624850387</v>
      </c>
      <c r="J21">
        <v>19</v>
      </c>
      <c r="K21" s="17">
        <f t="shared" si="2"/>
        <v>19</v>
      </c>
      <c r="L21" s="17">
        <f t="shared" si="3"/>
        <v>1</v>
      </c>
      <c r="M21" s="16">
        <f t="shared" si="4"/>
        <v>2.9487780973285167</v>
      </c>
      <c r="N21" s="17">
        <f t="shared" si="5"/>
        <v>0</v>
      </c>
      <c r="Q21" s="1" t="s">
        <v>38</v>
      </c>
      <c r="R21" s="1">
        <f>T7</f>
        <v>28</v>
      </c>
      <c r="S21" s="1">
        <f>T6</f>
        <v>10</v>
      </c>
      <c r="T21" t="s">
        <v>37</v>
      </c>
    </row>
    <row r="22" spans="1:21" x14ac:dyDescent="0.25">
      <c r="A22">
        <v>20</v>
      </c>
      <c r="B22" s="27">
        <v>10</v>
      </c>
      <c r="C22" s="27">
        <v>10</v>
      </c>
      <c r="D22">
        <v>0</v>
      </c>
      <c r="E22">
        <v>0</v>
      </c>
      <c r="F22">
        <v>20</v>
      </c>
      <c r="G22" s="16">
        <f t="shared" si="0"/>
        <v>2.3052380778996162</v>
      </c>
      <c r="H22" s="17">
        <f t="shared" si="1"/>
        <v>8.985986624850387</v>
      </c>
      <c r="J22">
        <v>20</v>
      </c>
      <c r="K22" s="17">
        <f t="shared" si="2"/>
        <v>19</v>
      </c>
      <c r="L22" s="17">
        <f t="shared" si="3"/>
        <v>1</v>
      </c>
      <c r="M22" s="16">
        <f t="shared" si="4"/>
        <v>2.9487780973285167</v>
      </c>
      <c r="N22" s="17">
        <f t="shared" si="5"/>
        <v>0</v>
      </c>
    </row>
    <row r="23" spans="1:21" x14ac:dyDescent="0.25">
      <c r="A23">
        <v>21</v>
      </c>
      <c r="B23" s="27">
        <v>10</v>
      </c>
      <c r="C23" s="27">
        <v>10</v>
      </c>
      <c r="D23">
        <v>0</v>
      </c>
      <c r="E23">
        <v>0</v>
      </c>
      <c r="F23">
        <v>21</v>
      </c>
      <c r="G23" s="16">
        <f t="shared" si="0"/>
        <v>2.3052380778996162</v>
      </c>
      <c r="H23" s="17">
        <f t="shared" si="1"/>
        <v>8.985986624850387</v>
      </c>
      <c r="J23">
        <v>21</v>
      </c>
      <c r="K23" s="17">
        <f t="shared" si="2"/>
        <v>19</v>
      </c>
      <c r="L23" s="17">
        <f t="shared" si="3"/>
        <v>1</v>
      </c>
      <c r="M23" s="16">
        <f t="shared" si="4"/>
        <v>2.9487780973285167</v>
      </c>
      <c r="N23" s="17">
        <f t="shared" si="5"/>
        <v>0</v>
      </c>
      <c r="Q23" t="s">
        <v>41</v>
      </c>
      <c r="S23">
        <f>AVERAGE(D3:D32)</f>
        <v>0.5</v>
      </c>
    </row>
    <row r="24" spans="1:21" x14ac:dyDescent="0.25">
      <c r="A24">
        <v>22</v>
      </c>
      <c r="B24" s="27">
        <v>28</v>
      </c>
      <c r="C24" s="27">
        <v>28</v>
      </c>
      <c r="D24">
        <v>1</v>
      </c>
      <c r="E24">
        <v>0</v>
      </c>
      <c r="F24">
        <v>22</v>
      </c>
      <c r="G24" s="16">
        <f t="shared" si="0"/>
        <v>3.3377624753350124</v>
      </c>
      <c r="H24" s="17">
        <f t="shared" si="1"/>
        <v>26.933787338750172</v>
      </c>
      <c r="J24">
        <v>22</v>
      </c>
      <c r="K24" s="17">
        <f t="shared" si="2"/>
        <v>19</v>
      </c>
      <c r="L24" s="17">
        <f t="shared" si="3"/>
        <v>37</v>
      </c>
      <c r="M24" s="16">
        <f t="shared" si="4"/>
        <v>2.9487780973285167</v>
      </c>
      <c r="N24" s="17">
        <f t="shared" si="5"/>
        <v>35.902539503130754</v>
      </c>
      <c r="Q24" t="s">
        <v>42</v>
      </c>
    </row>
    <row r="25" spans="1:21" x14ac:dyDescent="0.25">
      <c r="A25">
        <v>23</v>
      </c>
      <c r="B25" s="27">
        <v>28</v>
      </c>
      <c r="C25" s="27">
        <v>28</v>
      </c>
      <c r="D25">
        <v>1</v>
      </c>
      <c r="E25">
        <v>0</v>
      </c>
      <c r="F25">
        <v>23</v>
      </c>
      <c r="G25" s="16">
        <f t="shared" si="0"/>
        <v>3.3377624753350124</v>
      </c>
      <c r="H25" s="17">
        <f t="shared" si="1"/>
        <v>26.933787338750172</v>
      </c>
      <c r="J25">
        <v>23</v>
      </c>
      <c r="K25" s="17">
        <f t="shared" si="2"/>
        <v>19</v>
      </c>
      <c r="L25" s="17">
        <f t="shared" si="3"/>
        <v>37</v>
      </c>
      <c r="M25" s="16">
        <f t="shared" si="4"/>
        <v>2.9487780973285167</v>
      </c>
      <c r="N25" s="17">
        <f t="shared" si="5"/>
        <v>35.902539503130754</v>
      </c>
    </row>
    <row r="26" spans="1:21" x14ac:dyDescent="0.25">
      <c r="A26">
        <v>24</v>
      </c>
      <c r="B26" s="27">
        <v>28</v>
      </c>
      <c r="C26" s="27">
        <v>28</v>
      </c>
      <c r="D26">
        <v>1</v>
      </c>
      <c r="E26">
        <v>0</v>
      </c>
      <c r="F26">
        <v>24</v>
      </c>
      <c r="G26" s="16">
        <f t="shared" si="0"/>
        <v>3.3377624753350124</v>
      </c>
      <c r="H26" s="17">
        <f t="shared" si="1"/>
        <v>26.933787338750172</v>
      </c>
      <c r="J26">
        <v>24</v>
      </c>
      <c r="K26" s="17">
        <f t="shared" si="2"/>
        <v>19</v>
      </c>
      <c r="L26" s="17">
        <f t="shared" si="3"/>
        <v>37</v>
      </c>
      <c r="M26" s="16">
        <f t="shared" si="4"/>
        <v>2.9487780973285167</v>
      </c>
      <c r="N26" s="17">
        <f t="shared" si="5"/>
        <v>35.902539503130754</v>
      </c>
    </row>
    <row r="27" spans="1:21" x14ac:dyDescent="0.25">
      <c r="A27">
        <v>25</v>
      </c>
      <c r="B27" s="27">
        <v>10</v>
      </c>
      <c r="C27" s="27">
        <v>10</v>
      </c>
      <c r="D27">
        <v>0</v>
      </c>
      <c r="E27">
        <v>1</v>
      </c>
      <c r="F27">
        <v>25</v>
      </c>
      <c r="G27" s="16">
        <f t="shared" si="0"/>
        <v>2.3052380778996162</v>
      </c>
      <c r="H27" s="17">
        <f t="shared" si="1"/>
        <v>8.985986624850387</v>
      </c>
      <c r="J27">
        <v>25</v>
      </c>
      <c r="K27" s="17">
        <f t="shared" si="2"/>
        <v>19</v>
      </c>
      <c r="L27" s="17">
        <f t="shared" si="3"/>
        <v>1</v>
      </c>
      <c r="M27" s="16">
        <f t="shared" si="4"/>
        <v>2.9487780973285167</v>
      </c>
      <c r="N27" s="17">
        <f t="shared" si="5"/>
        <v>0</v>
      </c>
      <c r="Q27" s="6" t="s">
        <v>35</v>
      </c>
      <c r="R27" s="6"/>
      <c r="S27" s="6"/>
    </row>
    <row r="28" spans="1:21" x14ac:dyDescent="0.25">
      <c r="A28">
        <v>26</v>
      </c>
      <c r="B28" s="27">
        <v>10</v>
      </c>
      <c r="C28" s="27">
        <v>10</v>
      </c>
      <c r="D28">
        <v>0</v>
      </c>
      <c r="E28">
        <v>1</v>
      </c>
      <c r="F28">
        <v>26</v>
      </c>
      <c r="G28" s="16">
        <f t="shared" si="0"/>
        <v>2.3052380778996162</v>
      </c>
      <c r="H28" s="17">
        <f t="shared" si="1"/>
        <v>8.985986624850387</v>
      </c>
      <c r="J28">
        <v>26</v>
      </c>
      <c r="K28" s="17">
        <f t="shared" si="2"/>
        <v>19</v>
      </c>
      <c r="L28" s="17">
        <f t="shared" si="3"/>
        <v>1</v>
      </c>
      <c r="M28" s="16">
        <f t="shared" si="4"/>
        <v>2.9487780973285167</v>
      </c>
      <c r="N28" s="17">
        <f t="shared" si="5"/>
        <v>0</v>
      </c>
      <c r="Q28" s="2"/>
      <c r="R28" s="23" t="s">
        <v>19</v>
      </c>
      <c r="S28" s="23"/>
      <c r="T28" s="4" t="s">
        <v>20</v>
      </c>
      <c r="U28" s="5"/>
    </row>
    <row r="29" spans="1:21" x14ac:dyDescent="0.25">
      <c r="A29">
        <v>27</v>
      </c>
      <c r="B29" s="27">
        <v>10</v>
      </c>
      <c r="C29" s="27">
        <v>10</v>
      </c>
      <c r="D29">
        <v>0</v>
      </c>
      <c r="E29">
        <v>1</v>
      </c>
      <c r="F29">
        <v>27</v>
      </c>
      <c r="G29" s="16">
        <f t="shared" si="0"/>
        <v>2.3052380778996162</v>
      </c>
      <c r="H29" s="17">
        <f t="shared" si="1"/>
        <v>8.985986624850387</v>
      </c>
      <c r="J29">
        <v>27</v>
      </c>
      <c r="K29" s="17">
        <f t="shared" si="2"/>
        <v>19</v>
      </c>
      <c r="L29" s="17">
        <f t="shared" si="3"/>
        <v>1</v>
      </c>
      <c r="M29" s="16">
        <f t="shared" si="4"/>
        <v>2.9487780973285167</v>
      </c>
      <c r="N29" s="17">
        <f t="shared" si="5"/>
        <v>0</v>
      </c>
      <c r="Q29" s="8"/>
      <c r="R29" s="9" t="s">
        <v>1</v>
      </c>
      <c r="S29" s="9" t="s">
        <v>18</v>
      </c>
      <c r="T29" s="1" t="s">
        <v>1</v>
      </c>
      <c r="U29" s="9" t="s">
        <v>18</v>
      </c>
    </row>
    <row r="30" spans="1:21" x14ac:dyDescent="0.25">
      <c r="A30">
        <v>28</v>
      </c>
      <c r="B30" s="27">
        <v>10</v>
      </c>
      <c r="C30" s="27">
        <v>10</v>
      </c>
      <c r="D30">
        <v>0</v>
      </c>
      <c r="E30">
        <v>0</v>
      </c>
      <c r="F30">
        <v>28</v>
      </c>
      <c r="G30" s="16">
        <f t="shared" si="0"/>
        <v>2.3052380778996162</v>
      </c>
      <c r="H30" s="17">
        <f t="shared" si="1"/>
        <v>8.985986624850387</v>
      </c>
      <c r="J30">
        <v>28</v>
      </c>
      <c r="K30" s="17">
        <f t="shared" si="2"/>
        <v>19</v>
      </c>
      <c r="L30" s="17">
        <f t="shared" si="3"/>
        <v>1</v>
      </c>
      <c r="M30" s="16">
        <f t="shared" si="4"/>
        <v>2.9487780973285167</v>
      </c>
      <c r="N30" s="17">
        <f t="shared" si="5"/>
        <v>0</v>
      </c>
      <c r="Q30" s="7" t="s">
        <v>17</v>
      </c>
      <c r="R30" s="18">
        <f>AVERAGE(G3:G32)</f>
        <v>2.8215002766173143</v>
      </c>
      <c r="S30" s="19">
        <f>AVERAGE(M3:M32)</f>
        <v>2.9487780973285154</v>
      </c>
      <c r="T30" s="18">
        <f>1/2*((R6^(1-R4)-1)/(1-R4)+(R7^(1-R4)-1)/(1-R4))</f>
        <v>2.8215002766173143</v>
      </c>
      <c r="U30" s="19">
        <f>1/2*(((R6+T11)^(1-R4)-1)/(1-R4)+((R7-T10)^(1-R4)-1)/(1-R4))</f>
        <v>2.9487780973285167</v>
      </c>
    </row>
    <row r="31" spans="1:21" x14ac:dyDescent="0.25">
      <c r="A31">
        <v>29</v>
      </c>
      <c r="B31" s="27">
        <v>28</v>
      </c>
      <c r="C31" s="27">
        <v>28</v>
      </c>
      <c r="D31">
        <v>1</v>
      </c>
      <c r="E31">
        <v>0</v>
      </c>
      <c r="F31">
        <v>29</v>
      </c>
      <c r="G31" s="16">
        <f t="shared" si="0"/>
        <v>3.3377624753350124</v>
      </c>
      <c r="H31" s="17">
        <f t="shared" si="1"/>
        <v>26.933787338750172</v>
      </c>
      <c r="J31">
        <v>29</v>
      </c>
      <c r="K31" s="17">
        <f t="shared" si="2"/>
        <v>19</v>
      </c>
      <c r="L31" s="17">
        <f t="shared" si="3"/>
        <v>37</v>
      </c>
      <c r="M31" s="16">
        <f t="shared" si="4"/>
        <v>2.9487780973285167</v>
      </c>
      <c r="N31" s="17">
        <f t="shared" si="5"/>
        <v>35.902539503130754</v>
      </c>
      <c r="Q31" s="8" t="s">
        <v>16</v>
      </c>
      <c r="R31" s="24">
        <f>AVERAGE(H3:H32)</f>
        <v>17.959886981800285</v>
      </c>
      <c r="S31" s="26">
        <f>AVERAGE(N3:N32)</f>
        <v>17.951269751565373</v>
      </c>
      <c r="T31" s="24">
        <f>1/2*((T6^(1-T4)-1)/(1-T4)+(T7^(1-T4)-1)/(1-T4))</f>
        <v>17.959886981800281</v>
      </c>
      <c r="U31" s="25">
        <f>1/2*(((T6-T11)^(1-T4)-1)/(1-T4)+((T7+T10)^(1-T4)-1)/(1-T4))</f>
        <v>17.951269751565377</v>
      </c>
    </row>
    <row r="32" spans="1:21" x14ac:dyDescent="0.25">
      <c r="A32">
        <v>30</v>
      </c>
      <c r="B32" s="27">
        <v>28</v>
      </c>
      <c r="C32" s="27">
        <v>28</v>
      </c>
      <c r="D32">
        <v>1</v>
      </c>
      <c r="E32">
        <v>1</v>
      </c>
      <c r="F32">
        <v>30</v>
      </c>
      <c r="G32" s="16">
        <f t="shared" si="0"/>
        <v>3.3377624753350124</v>
      </c>
      <c r="H32" s="17">
        <f t="shared" si="1"/>
        <v>26.933787338750172</v>
      </c>
      <c r="J32">
        <v>30</v>
      </c>
      <c r="K32" s="17">
        <f t="shared" si="2"/>
        <v>19</v>
      </c>
      <c r="L32" s="17">
        <f t="shared" si="3"/>
        <v>37</v>
      </c>
      <c r="M32" s="16">
        <f t="shared" si="4"/>
        <v>2.9487780973285167</v>
      </c>
      <c r="N32" s="17">
        <f t="shared" si="5"/>
        <v>35.902539503130754</v>
      </c>
    </row>
    <row r="34" spans="6:7" x14ac:dyDescent="0.25">
      <c r="G34" t="s">
        <v>43</v>
      </c>
    </row>
    <row r="35" spans="6:7" x14ac:dyDescent="0.25">
      <c r="F35" s="3"/>
    </row>
    <row r="36" spans="6:7" x14ac:dyDescent="0.25">
      <c r="F36" s="3"/>
      <c r="G36" s="11"/>
    </row>
    <row r="37" spans="6:7" x14ac:dyDescent="0.25">
      <c r="F37" s="3"/>
    </row>
    <row r="38" spans="6:7" x14ac:dyDescent="0.25">
      <c r="F38" s="3"/>
    </row>
  </sheetData>
  <pageMargins left="0.75" right="0.75" top="1" bottom="1" header="0.5" footer="0.5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eShock">
                <anchor moveWithCells="1" sizeWithCells="1">
                  <from>
                    <xdr:col>16</xdr:col>
                    <xdr:colOff>28575</xdr:colOff>
                    <xdr:row>15</xdr:row>
                    <xdr:rowOff>28575</xdr:rowOff>
                  </from>
                  <to>
                    <xdr:col>18</xdr:col>
                    <xdr:colOff>609600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U38"/>
  <sheetViews>
    <sheetView tabSelected="1" zoomScale="90" zoomScaleNormal="90" zoomScalePageLayoutView="90" workbookViewId="0">
      <selection activeCell="O26" sqref="O26"/>
    </sheetView>
  </sheetViews>
  <sheetFormatPr defaultColWidth="11" defaultRowHeight="15.75" x14ac:dyDescent="0.25"/>
  <cols>
    <col min="1" max="1" width="12" customWidth="1"/>
    <col min="2" max="2" width="11" customWidth="1"/>
  </cols>
  <sheetData>
    <row r="1" spans="1:21" x14ac:dyDescent="0.25">
      <c r="A1" t="s">
        <v>28</v>
      </c>
      <c r="F1" t="s">
        <v>30</v>
      </c>
      <c r="J1" t="s">
        <v>55</v>
      </c>
      <c r="Q1" t="s">
        <v>13</v>
      </c>
    </row>
    <row r="2" spans="1:21" x14ac:dyDescent="0.25">
      <c r="A2" t="s">
        <v>0</v>
      </c>
      <c r="B2" t="s">
        <v>23</v>
      </c>
      <c r="C2" t="s">
        <v>22</v>
      </c>
      <c r="D2" t="s">
        <v>8</v>
      </c>
      <c r="F2" t="s">
        <v>0</v>
      </c>
      <c r="G2" t="s">
        <v>25</v>
      </c>
      <c r="H2" t="s">
        <v>24</v>
      </c>
      <c r="J2" t="s">
        <v>0</v>
      </c>
      <c r="K2" t="s">
        <v>53</v>
      </c>
      <c r="L2" t="s">
        <v>54</v>
      </c>
      <c r="M2" t="s">
        <v>26</v>
      </c>
      <c r="N2" t="s">
        <v>27</v>
      </c>
      <c r="Q2" t="s">
        <v>2</v>
      </c>
    </row>
    <row r="3" spans="1:21" x14ac:dyDescent="0.25">
      <c r="A3">
        <v>1</v>
      </c>
      <c r="B3" s="27">
        <v>28</v>
      </c>
      <c r="C3" s="27">
        <v>28</v>
      </c>
      <c r="D3">
        <v>1</v>
      </c>
      <c r="F3">
        <v>1</v>
      </c>
      <c r="G3" s="17">
        <f>(POWER(B3, 1-$T$4)-1)/(1-$T$4)</f>
        <v>3.3377624753350124</v>
      </c>
      <c r="H3" s="17">
        <f t="shared" ref="H3:H32" si="0">(POWER(C3, 1-$T$4)-1)/(1-$T$4)</f>
        <v>3.3377624753350124</v>
      </c>
      <c r="J3">
        <v>1</v>
      </c>
      <c r="K3" s="17">
        <f t="shared" ref="K3:K32" si="1">B3-D3*$T$10+(1-D3)*$T$11</f>
        <v>19</v>
      </c>
      <c r="L3" s="17">
        <f t="shared" ref="L3:L32" si="2">C3+D3*$T$10-(1-D3)*$T$11</f>
        <v>37</v>
      </c>
      <c r="M3" s="17">
        <f>(POWER(B3-D3*$T$10+(1-D3)*$T$11, 1-$T$4)-1)/(1-$T$4)</f>
        <v>2.9487780973285167</v>
      </c>
      <c r="N3" s="17">
        <f t="shared" ref="N3:N32" si="3">(POWER(C3+D3*$T$10-(1-D3)*$T$11, 1-$T$4)-1)/(1-$T$4)</f>
        <v>3.6174451307817681</v>
      </c>
      <c r="Q3" t="s">
        <v>14</v>
      </c>
      <c r="S3" t="s">
        <v>15</v>
      </c>
    </row>
    <row r="4" spans="1:21" x14ac:dyDescent="0.25">
      <c r="A4">
        <v>2</v>
      </c>
      <c r="B4" s="27">
        <v>28</v>
      </c>
      <c r="C4" s="27">
        <v>28</v>
      </c>
      <c r="D4">
        <v>1</v>
      </c>
      <c r="F4">
        <v>2</v>
      </c>
      <c r="G4" s="17">
        <f t="shared" ref="G4:G32" si="4">(POWER(B4, 1-$T$4)-1)/(1-$T$4)</f>
        <v>3.3377624753350124</v>
      </c>
      <c r="H4" s="17">
        <f t="shared" si="0"/>
        <v>3.3377624753350124</v>
      </c>
      <c r="J4">
        <v>2</v>
      </c>
      <c r="K4" s="17">
        <f t="shared" si="1"/>
        <v>19</v>
      </c>
      <c r="L4" s="17">
        <f t="shared" si="2"/>
        <v>37</v>
      </c>
      <c r="M4" s="17">
        <f t="shared" ref="M4:M32" si="5">(POWER(B4-D4*$T$10+(1-D4)*$T$11, 1-$T$4)-1)/(1-$T$4)</f>
        <v>2.9487780973285167</v>
      </c>
      <c r="N4" s="17">
        <f t="shared" si="3"/>
        <v>3.6174451307817681</v>
      </c>
      <c r="Q4" t="s">
        <v>3</v>
      </c>
      <c r="R4" s="14"/>
      <c r="T4" s="12">
        <v>0.999</v>
      </c>
      <c r="U4" t="s">
        <v>44</v>
      </c>
    </row>
    <row r="5" spans="1:21" x14ac:dyDescent="0.25">
      <c r="A5">
        <v>3</v>
      </c>
      <c r="B5" s="27">
        <v>10</v>
      </c>
      <c r="C5" s="27">
        <v>10</v>
      </c>
      <c r="D5">
        <v>0</v>
      </c>
      <c r="F5">
        <v>3</v>
      </c>
      <c r="G5" s="17">
        <f t="shared" si="4"/>
        <v>2.3052380778996162</v>
      </c>
      <c r="H5" s="17">
        <f t="shared" si="0"/>
        <v>2.3052380778996162</v>
      </c>
      <c r="J5">
        <v>3</v>
      </c>
      <c r="K5" s="17">
        <f t="shared" si="1"/>
        <v>19</v>
      </c>
      <c r="L5" s="17">
        <f t="shared" si="2"/>
        <v>1</v>
      </c>
      <c r="M5" s="17">
        <f t="shared" si="5"/>
        <v>2.9487780973285167</v>
      </c>
      <c r="N5" s="17">
        <f t="shared" si="3"/>
        <v>0</v>
      </c>
      <c r="R5" s="12"/>
      <c r="T5" s="13"/>
    </row>
    <row r="6" spans="1:21" x14ac:dyDescent="0.25">
      <c r="A6">
        <v>4</v>
      </c>
      <c r="B6" s="27">
        <v>28</v>
      </c>
      <c r="C6" s="27">
        <v>28</v>
      </c>
      <c r="D6">
        <v>1</v>
      </c>
      <c r="F6">
        <v>4</v>
      </c>
      <c r="G6" s="17">
        <f t="shared" si="4"/>
        <v>3.3377624753350124</v>
      </c>
      <c r="H6" s="17">
        <f t="shared" si="0"/>
        <v>3.3377624753350124</v>
      </c>
      <c r="J6">
        <v>4</v>
      </c>
      <c r="K6" s="17">
        <f t="shared" si="1"/>
        <v>19</v>
      </c>
      <c r="L6" s="17">
        <f t="shared" si="2"/>
        <v>37</v>
      </c>
      <c r="M6" s="17">
        <f t="shared" si="5"/>
        <v>2.9487780973285167</v>
      </c>
      <c r="N6" s="17">
        <f t="shared" si="3"/>
        <v>3.6174451307817681</v>
      </c>
      <c r="Q6" t="s">
        <v>31</v>
      </c>
      <c r="R6" s="12">
        <v>10</v>
      </c>
      <c r="T6" s="13">
        <v>10</v>
      </c>
      <c r="U6" t="s">
        <v>33</v>
      </c>
    </row>
    <row r="7" spans="1:21" x14ac:dyDescent="0.25">
      <c r="A7">
        <v>5</v>
      </c>
      <c r="B7" s="27">
        <v>28</v>
      </c>
      <c r="C7" s="27">
        <v>28</v>
      </c>
      <c r="D7">
        <v>1</v>
      </c>
      <c r="F7">
        <v>5</v>
      </c>
      <c r="G7" s="17">
        <f t="shared" si="4"/>
        <v>3.3377624753350124</v>
      </c>
      <c r="H7" s="17">
        <f t="shared" si="0"/>
        <v>3.3377624753350124</v>
      </c>
      <c r="J7">
        <v>5</v>
      </c>
      <c r="K7" s="17">
        <f t="shared" si="1"/>
        <v>19</v>
      </c>
      <c r="L7" s="17">
        <f t="shared" si="2"/>
        <v>37</v>
      </c>
      <c r="M7" s="17">
        <f t="shared" si="5"/>
        <v>2.9487780973285167</v>
      </c>
      <c r="N7" s="17">
        <f t="shared" si="3"/>
        <v>3.6174451307817681</v>
      </c>
      <c r="Q7" t="s">
        <v>32</v>
      </c>
      <c r="R7" s="12">
        <v>28</v>
      </c>
      <c r="T7" s="13">
        <v>28</v>
      </c>
      <c r="U7" t="s">
        <v>34</v>
      </c>
    </row>
    <row r="8" spans="1:21" x14ac:dyDescent="0.25">
      <c r="A8">
        <v>6</v>
      </c>
      <c r="B8" s="27">
        <v>28</v>
      </c>
      <c r="C8" s="27">
        <v>28</v>
      </c>
      <c r="D8">
        <v>1</v>
      </c>
      <c r="F8">
        <v>6</v>
      </c>
      <c r="G8" s="17">
        <f t="shared" si="4"/>
        <v>3.3377624753350124</v>
      </c>
      <c r="H8" s="17">
        <f t="shared" si="0"/>
        <v>3.3377624753350124</v>
      </c>
      <c r="J8">
        <v>6</v>
      </c>
      <c r="K8" s="17">
        <f t="shared" si="1"/>
        <v>19</v>
      </c>
      <c r="L8" s="17">
        <f t="shared" si="2"/>
        <v>37</v>
      </c>
      <c r="M8" s="17">
        <f t="shared" si="5"/>
        <v>2.9487780973285167</v>
      </c>
      <c r="N8" s="17">
        <f t="shared" si="3"/>
        <v>3.6174451307817681</v>
      </c>
      <c r="Q8" t="s">
        <v>10</v>
      </c>
      <c r="R8" t="s">
        <v>4</v>
      </c>
      <c r="S8" t="s">
        <v>10</v>
      </c>
      <c r="T8" t="s">
        <v>5</v>
      </c>
    </row>
    <row r="9" spans="1:21" x14ac:dyDescent="0.25">
      <c r="A9">
        <v>7</v>
      </c>
      <c r="B9" s="27">
        <v>10</v>
      </c>
      <c r="C9" s="27">
        <v>10</v>
      </c>
      <c r="D9">
        <v>0</v>
      </c>
      <c r="F9">
        <v>7</v>
      </c>
      <c r="G9" s="17">
        <f t="shared" si="4"/>
        <v>2.3052380778996162</v>
      </c>
      <c r="H9" s="17">
        <f t="shared" si="0"/>
        <v>2.3052380778996162</v>
      </c>
      <c r="J9">
        <v>7</v>
      </c>
      <c r="K9" s="17">
        <f t="shared" si="1"/>
        <v>19</v>
      </c>
      <c r="L9" s="17">
        <f t="shared" si="2"/>
        <v>1</v>
      </c>
      <c r="M9" s="17">
        <f t="shared" si="5"/>
        <v>2.9487780973285167</v>
      </c>
      <c r="N9" s="17">
        <f t="shared" si="3"/>
        <v>0</v>
      </c>
      <c r="R9" t="s">
        <v>11</v>
      </c>
      <c r="T9" t="s">
        <v>12</v>
      </c>
    </row>
    <row r="10" spans="1:21" x14ac:dyDescent="0.25">
      <c r="A10">
        <v>8</v>
      </c>
      <c r="B10" s="27">
        <v>28</v>
      </c>
      <c r="C10" s="27">
        <v>28</v>
      </c>
      <c r="D10">
        <v>1</v>
      </c>
      <c r="F10">
        <v>8</v>
      </c>
      <c r="G10" s="17">
        <f t="shared" si="4"/>
        <v>3.3377624753350124</v>
      </c>
      <c r="H10" s="17">
        <f t="shared" si="0"/>
        <v>3.3377624753350124</v>
      </c>
      <c r="J10">
        <v>8</v>
      </c>
      <c r="K10" s="17">
        <f t="shared" si="1"/>
        <v>19</v>
      </c>
      <c r="L10" s="17">
        <f t="shared" si="2"/>
        <v>37</v>
      </c>
      <c r="M10" s="17">
        <f t="shared" si="5"/>
        <v>2.9487780973285167</v>
      </c>
      <c r="N10" s="17">
        <f t="shared" si="3"/>
        <v>3.6174451307817681</v>
      </c>
      <c r="Q10" t="s">
        <v>36</v>
      </c>
      <c r="T10" s="15">
        <v>9</v>
      </c>
    </row>
    <row r="11" spans="1:21" x14ac:dyDescent="0.25">
      <c r="A11">
        <v>9</v>
      </c>
      <c r="B11" s="27">
        <v>28</v>
      </c>
      <c r="C11" s="27">
        <v>28</v>
      </c>
      <c r="D11">
        <v>1</v>
      </c>
      <c r="F11">
        <v>9</v>
      </c>
      <c r="G11" s="17">
        <f t="shared" si="4"/>
        <v>3.3377624753350124</v>
      </c>
      <c r="H11" s="17">
        <f t="shared" si="0"/>
        <v>3.3377624753350124</v>
      </c>
      <c r="J11">
        <v>9</v>
      </c>
      <c r="K11" s="17">
        <f t="shared" si="1"/>
        <v>19</v>
      </c>
      <c r="L11" s="17">
        <f t="shared" si="2"/>
        <v>37</v>
      </c>
      <c r="M11" s="17">
        <f t="shared" si="5"/>
        <v>2.9487780973285167</v>
      </c>
      <c r="N11" s="17">
        <f t="shared" si="3"/>
        <v>3.6174451307817681</v>
      </c>
      <c r="Q11" t="s">
        <v>48</v>
      </c>
      <c r="T11" s="15">
        <v>9</v>
      </c>
    </row>
    <row r="12" spans="1:21" x14ac:dyDescent="0.25">
      <c r="A12">
        <v>10</v>
      </c>
      <c r="B12" s="27">
        <v>10</v>
      </c>
      <c r="C12" s="27">
        <v>10</v>
      </c>
      <c r="D12">
        <v>0</v>
      </c>
      <c r="F12">
        <v>10</v>
      </c>
      <c r="G12" s="17">
        <f t="shared" si="4"/>
        <v>2.3052380778996162</v>
      </c>
      <c r="H12" s="17">
        <f t="shared" si="0"/>
        <v>2.3052380778996162</v>
      </c>
      <c r="J12">
        <v>10</v>
      </c>
      <c r="K12" s="17">
        <f t="shared" si="1"/>
        <v>19</v>
      </c>
      <c r="L12" s="17">
        <f t="shared" si="2"/>
        <v>1</v>
      </c>
      <c r="M12" s="17">
        <f t="shared" si="5"/>
        <v>2.9487780973285167</v>
      </c>
      <c r="N12" s="17">
        <f t="shared" si="3"/>
        <v>0</v>
      </c>
    </row>
    <row r="13" spans="1:21" x14ac:dyDescent="0.25">
      <c r="A13">
        <v>11</v>
      </c>
      <c r="B13" s="27">
        <v>28</v>
      </c>
      <c r="C13" s="27">
        <v>28</v>
      </c>
      <c r="D13">
        <v>1</v>
      </c>
      <c r="F13">
        <v>11</v>
      </c>
      <c r="G13" s="17">
        <f t="shared" si="4"/>
        <v>3.3377624753350124</v>
      </c>
      <c r="H13" s="17">
        <f t="shared" si="0"/>
        <v>3.3377624753350124</v>
      </c>
      <c r="J13">
        <v>11</v>
      </c>
      <c r="K13" s="17">
        <f t="shared" si="1"/>
        <v>19</v>
      </c>
      <c r="L13" s="17">
        <f t="shared" si="2"/>
        <v>37</v>
      </c>
      <c r="M13" s="17">
        <f t="shared" si="5"/>
        <v>2.9487780973285167</v>
      </c>
      <c r="N13" s="17">
        <f t="shared" si="3"/>
        <v>3.6174451307817681</v>
      </c>
    </row>
    <row r="14" spans="1:21" x14ac:dyDescent="0.25">
      <c r="A14">
        <v>12</v>
      </c>
      <c r="B14" s="27">
        <v>10</v>
      </c>
      <c r="C14" s="27">
        <v>10</v>
      </c>
      <c r="D14">
        <v>0</v>
      </c>
      <c r="F14">
        <v>12</v>
      </c>
      <c r="G14" s="17">
        <f t="shared" si="4"/>
        <v>2.3052380778996162</v>
      </c>
      <c r="H14" s="17">
        <f t="shared" si="0"/>
        <v>2.3052380778996162</v>
      </c>
      <c r="J14">
        <v>12</v>
      </c>
      <c r="K14" s="17">
        <f t="shared" si="1"/>
        <v>19</v>
      </c>
      <c r="L14" s="17">
        <f t="shared" si="2"/>
        <v>1</v>
      </c>
      <c r="M14" s="17">
        <f t="shared" si="5"/>
        <v>2.9487780973285167</v>
      </c>
      <c r="N14" s="17">
        <f t="shared" si="3"/>
        <v>0</v>
      </c>
      <c r="Q14" t="s">
        <v>40</v>
      </c>
    </row>
    <row r="15" spans="1:21" x14ac:dyDescent="0.25">
      <c r="A15">
        <v>13</v>
      </c>
      <c r="B15" s="27">
        <v>10</v>
      </c>
      <c r="C15" s="27">
        <v>10</v>
      </c>
      <c r="D15">
        <v>0</v>
      </c>
      <c r="F15">
        <v>13</v>
      </c>
      <c r="G15" s="17">
        <f t="shared" si="4"/>
        <v>2.3052380778996162</v>
      </c>
      <c r="H15" s="17">
        <f t="shared" si="0"/>
        <v>2.3052380778996162</v>
      </c>
      <c r="J15">
        <v>13</v>
      </c>
      <c r="K15" s="17">
        <f t="shared" si="1"/>
        <v>19</v>
      </c>
      <c r="L15" s="17">
        <f t="shared" si="2"/>
        <v>1</v>
      </c>
      <c r="M15" s="17">
        <f t="shared" si="5"/>
        <v>2.9487780973285167</v>
      </c>
      <c r="N15" s="17">
        <f t="shared" si="3"/>
        <v>0</v>
      </c>
    </row>
    <row r="16" spans="1:21" x14ac:dyDescent="0.25">
      <c r="A16">
        <v>14</v>
      </c>
      <c r="B16" s="27">
        <v>28</v>
      </c>
      <c r="C16" s="27">
        <v>28</v>
      </c>
      <c r="D16">
        <v>1</v>
      </c>
      <c r="F16">
        <v>14</v>
      </c>
      <c r="G16" s="17">
        <f t="shared" si="4"/>
        <v>3.3377624753350124</v>
      </c>
      <c r="H16" s="17">
        <f t="shared" si="0"/>
        <v>3.3377624753350124</v>
      </c>
      <c r="J16">
        <v>14</v>
      </c>
      <c r="K16" s="17">
        <f t="shared" si="1"/>
        <v>19</v>
      </c>
      <c r="L16" s="17">
        <f t="shared" si="2"/>
        <v>37</v>
      </c>
      <c r="M16" s="17">
        <f t="shared" si="5"/>
        <v>2.9487780973285167</v>
      </c>
      <c r="N16" s="17">
        <f t="shared" si="3"/>
        <v>3.6174451307817681</v>
      </c>
      <c r="R16">
        <v>0</v>
      </c>
    </row>
    <row r="17" spans="1:21" x14ac:dyDescent="0.25">
      <c r="A17">
        <v>15</v>
      </c>
      <c r="B17" s="27">
        <v>28</v>
      </c>
      <c r="C17" s="27">
        <v>28</v>
      </c>
      <c r="D17">
        <v>1</v>
      </c>
      <c r="F17">
        <v>15</v>
      </c>
      <c r="G17" s="17">
        <f t="shared" si="4"/>
        <v>3.3377624753350124</v>
      </c>
      <c r="H17" s="17">
        <f t="shared" si="0"/>
        <v>3.3377624753350124</v>
      </c>
      <c r="J17">
        <v>15</v>
      </c>
      <c r="K17" s="17">
        <f t="shared" si="1"/>
        <v>19</v>
      </c>
      <c r="L17" s="17">
        <f t="shared" si="2"/>
        <v>37</v>
      </c>
      <c r="M17" s="17">
        <f t="shared" si="5"/>
        <v>2.9487780973285167</v>
      </c>
      <c r="N17" s="17">
        <f t="shared" si="3"/>
        <v>3.6174451307817681</v>
      </c>
      <c r="R17">
        <v>0</v>
      </c>
    </row>
    <row r="18" spans="1:21" x14ac:dyDescent="0.25">
      <c r="A18">
        <v>16</v>
      </c>
      <c r="B18" s="27">
        <v>10</v>
      </c>
      <c r="C18" s="27">
        <v>10</v>
      </c>
      <c r="D18">
        <v>0</v>
      </c>
      <c r="F18">
        <v>16</v>
      </c>
      <c r="G18" s="17">
        <f t="shared" si="4"/>
        <v>2.3052380778996162</v>
      </c>
      <c r="H18" s="17">
        <f t="shared" si="0"/>
        <v>2.3052380778996162</v>
      </c>
      <c r="J18">
        <v>16</v>
      </c>
      <c r="K18" s="17">
        <f t="shared" si="1"/>
        <v>19</v>
      </c>
      <c r="L18" s="17">
        <f t="shared" si="2"/>
        <v>1</v>
      </c>
      <c r="M18" s="17">
        <f t="shared" si="5"/>
        <v>2.9487780973285167</v>
      </c>
      <c r="N18" s="17">
        <f t="shared" si="3"/>
        <v>0</v>
      </c>
      <c r="Q18" s="2"/>
      <c r="R18" s="10" t="s">
        <v>21</v>
      </c>
      <c r="S18" s="9"/>
    </row>
    <row r="19" spans="1:21" x14ac:dyDescent="0.25">
      <c r="A19">
        <v>17</v>
      </c>
      <c r="B19" s="27">
        <v>28</v>
      </c>
      <c r="C19" s="27">
        <v>28</v>
      </c>
      <c r="D19">
        <v>1</v>
      </c>
      <c r="F19">
        <v>17</v>
      </c>
      <c r="G19" s="17">
        <f t="shared" si="4"/>
        <v>3.3377624753350124</v>
      </c>
      <c r="H19" s="17">
        <f t="shared" si="0"/>
        <v>3.3377624753350124</v>
      </c>
      <c r="J19">
        <v>17</v>
      </c>
      <c r="K19" s="17">
        <f t="shared" si="1"/>
        <v>19</v>
      </c>
      <c r="L19" s="17">
        <f t="shared" si="2"/>
        <v>37</v>
      </c>
      <c r="M19" s="17">
        <f t="shared" si="5"/>
        <v>2.9487780973285167</v>
      </c>
      <c r="N19" s="17">
        <f t="shared" si="3"/>
        <v>3.6174451307817681</v>
      </c>
      <c r="Q19" s="8"/>
      <c r="R19" s="1" t="s">
        <v>6</v>
      </c>
      <c r="S19" s="1" t="s">
        <v>7</v>
      </c>
    </row>
    <row r="20" spans="1:21" x14ac:dyDescent="0.25">
      <c r="A20">
        <v>18</v>
      </c>
      <c r="B20" s="27">
        <v>28</v>
      </c>
      <c r="C20" s="27">
        <v>28</v>
      </c>
      <c r="D20">
        <v>1</v>
      </c>
      <c r="F20">
        <v>18</v>
      </c>
      <c r="G20" s="17">
        <f t="shared" si="4"/>
        <v>3.3377624753350124</v>
      </c>
      <c r="H20" s="17">
        <f t="shared" si="0"/>
        <v>3.3377624753350124</v>
      </c>
      <c r="J20">
        <v>18</v>
      </c>
      <c r="K20" s="17">
        <f t="shared" si="1"/>
        <v>19</v>
      </c>
      <c r="L20" s="17">
        <f t="shared" si="2"/>
        <v>37</v>
      </c>
      <c r="M20" s="17">
        <f t="shared" si="5"/>
        <v>2.9487780973285167</v>
      </c>
      <c r="N20" s="17">
        <f t="shared" si="3"/>
        <v>3.6174451307817681</v>
      </c>
      <c r="Q20" s="1" t="s">
        <v>39</v>
      </c>
      <c r="R20" s="1">
        <f>R7</f>
        <v>28</v>
      </c>
      <c r="S20" s="1">
        <f>R6</f>
        <v>10</v>
      </c>
      <c r="T20" t="s">
        <v>37</v>
      </c>
    </row>
    <row r="21" spans="1:21" x14ac:dyDescent="0.25">
      <c r="A21">
        <v>19</v>
      </c>
      <c r="B21" s="27">
        <v>28</v>
      </c>
      <c r="C21" s="27">
        <v>28</v>
      </c>
      <c r="D21">
        <v>1</v>
      </c>
      <c r="F21">
        <v>19</v>
      </c>
      <c r="G21" s="17">
        <f t="shared" si="4"/>
        <v>3.3377624753350124</v>
      </c>
      <c r="H21" s="17">
        <f t="shared" si="0"/>
        <v>3.3377624753350124</v>
      </c>
      <c r="J21">
        <v>19</v>
      </c>
      <c r="K21" s="17">
        <f t="shared" si="1"/>
        <v>19</v>
      </c>
      <c r="L21" s="17">
        <f t="shared" si="2"/>
        <v>37</v>
      </c>
      <c r="M21" s="17">
        <f t="shared" si="5"/>
        <v>2.9487780973285167</v>
      </c>
      <c r="N21" s="17">
        <f t="shared" si="3"/>
        <v>3.6174451307817681</v>
      </c>
      <c r="Q21" s="1" t="s">
        <v>38</v>
      </c>
      <c r="R21" s="1">
        <f>T7</f>
        <v>28</v>
      </c>
      <c r="S21" s="1">
        <f>T6</f>
        <v>10</v>
      </c>
      <c r="T21" t="s">
        <v>37</v>
      </c>
    </row>
    <row r="22" spans="1:21" x14ac:dyDescent="0.25">
      <c r="A22">
        <v>20</v>
      </c>
      <c r="B22" s="27">
        <v>28</v>
      </c>
      <c r="C22" s="27">
        <v>28</v>
      </c>
      <c r="D22">
        <v>1</v>
      </c>
      <c r="F22">
        <v>20</v>
      </c>
      <c r="G22" s="17">
        <f t="shared" si="4"/>
        <v>3.3377624753350124</v>
      </c>
      <c r="H22" s="17">
        <f t="shared" si="0"/>
        <v>3.3377624753350124</v>
      </c>
      <c r="J22">
        <v>20</v>
      </c>
      <c r="K22" s="17">
        <f t="shared" si="1"/>
        <v>19</v>
      </c>
      <c r="L22" s="17">
        <f t="shared" si="2"/>
        <v>37</v>
      </c>
      <c r="M22" s="17">
        <f t="shared" si="5"/>
        <v>2.9487780973285167</v>
      </c>
      <c r="N22" s="17">
        <f t="shared" si="3"/>
        <v>3.6174451307817681</v>
      </c>
    </row>
    <row r="23" spans="1:21" x14ac:dyDescent="0.25">
      <c r="A23">
        <v>21</v>
      </c>
      <c r="B23" s="27">
        <v>10</v>
      </c>
      <c r="C23" s="27">
        <v>10</v>
      </c>
      <c r="D23">
        <v>0</v>
      </c>
      <c r="F23">
        <v>21</v>
      </c>
      <c r="G23" s="17">
        <f t="shared" si="4"/>
        <v>2.3052380778996162</v>
      </c>
      <c r="H23" s="17">
        <f t="shared" si="0"/>
        <v>2.3052380778996162</v>
      </c>
      <c r="J23">
        <v>21</v>
      </c>
      <c r="K23" s="17">
        <f t="shared" si="1"/>
        <v>19</v>
      </c>
      <c r="L23" s="17">
        <f t="shared" si="2"/>
        <v>1</v>
      </c>
      <c r="M23" s="17">
        <f t="shared" si="5"/>
        <v>2.9487780973285167</v>
      </c>
      <c r="N23" s="17">
        <f t="shared" si="3"/>
        <v>0</v>
      </c>
      <c r="Q23" t="s">
        <v>41</v>
      </c>
      <c r="S23">
        <f>AVERAGE(D3:D32)</f>
        <v>0.56666666666666665</v>
      </c>
    </row>
    <row r="24" spans="1:21" x14ac:dyDescent="0.25">
      <c r="A24">
        <v>22</v>
      </c>
      <c r="B24" s="27">
        <v>28</v>
      </c>
      <c r="C24" s="27">
        <v>28</v>
      </c>
      <c r="D24">
        <v>1</v>
      </c>
      <c r="F24">
        <v>22</v>
      </c>
      <c r="G24" s="17">
        <f t="shared" si="4"/>
        <v>3.3377624753350124</v>
      </c>
      <c r="H24" s="17">
        <f t="shared" si="0"/>
        <v>3.3377624753350124</v>
      </c>
      <c r="J24">
        <v>22</v>
      </c>
      <c r="K24" s="17">
        <f t="shared" si="1"/>
        <v>19</v>
      </c>
      <c r="L24" s="17">
        <f t="shared" si="2"/>
        <v>37</v>
      </c>
      <c r="M24" s="17">
        <f t="shared" si="5"/>
        <v>2.9487780973285167</v>
      </c>
      <c r="N24" s="17">
        <f t="shared" si="3"/>
        <v>3.6174451307817681</v>
      </c>
      <c r="Q24" t="s">
        <v>42</v>
      </c>
    </row>
    <row r="25" spans="1:21" x14ac:dyDescent="0.25">
      <c r="A25">
        <v>23</v>
      </c>
      <c r="B25" s="27">
        <v>10</v>
      </c>
      <c r="C25" s="27">
        <v>10</v>
      </c>
      <c r="D25">
        <v>0</v>
      </c>
      <c r="F25">
        <v>23</v>
      </c>
      <c r="G25" s="17">
        <f t="shared" si="4"/>
        <v>2.3052380778996162</v>
      </c>
      <c r="H25" s="17">
        <f t="shared" si="0"/>
        <v>2.3052380778996162</v>
      </c>
      <c r="J25">
        <v>23</v>
      </c>
      <c r="K25" s="17">
        <f t="shared" si="1"/>
        <v>19</v>
      </c>
      <c r="L25" s="17">
        <f t="shared" si="2"/>
        <v>1</v>
      </c>
      <c r="M25" s="17">
        <f t="shared" si="5"/>
        <v>2.9487780973285167</v>
      </c>
      <c r="N25" s="17">
        <f t="shared" si="3"/>
        <v>0</v>
      </c>
    </row>
    <row r="26" spans="1:21" x14ac:dyDescent="0.25">
      <c r="A26">
        <v>24</v>
      </c>
      <c r="B26" s="27">
        <v>10</v>
      </c>
      <c r="C26" s="27">
        <v>10</v>
      </c>
      <c r="D26">
        <v>0</v>
      </c>
      <c r="F26">
        <v>24</v>
      </c>
      <c r="G26" s="17">
        <f t="shared" si="4"/>
        <v>2.3052380778996162</v>
      </c>
      <c r="H26" s="17">
        <f t="shared" si="0"/>
        <v>2.3052380778996162</v>
      </c>
      <c r="J26">
        <v>24</v>
      </c>
      <c r="K26" s="17">
        <f t="shared" si="1"/>
        <v>19</v>
      </c>
      <c r="L26" s="17">
        <f t="shared" si="2"/>
        <v>1</v>
      </c>
      <c r="M26" s="17">
        <f t="shared" si="5"/>
        <v>2.9487780973285167</v>
      </c>
      <c r="N26" s="17">
        <f t="shared" si="3"/>
        <v>0</v>
      </c>
    </row>
    <row r="27" spans="1:21" x14ac:dyDescent="0.25">
      <c r="A27">
        <v>25</v>
      </c>
      <c r="B27" s="27">
        <v>28</v>
      </c>
      <c r="C27" s="27">
        <v>28</v>
      </c>
      <c r="D27">
        <v>1</v>
      </c>
      <c r="F27">
        <v>25</v>
      </c>
      <c r="G27" s="17">
        <f t="shared" si="4"/>
        <v>3.3377624753350124</v>
      </c>
      <c r="H27" s="17">
        <f t="shared" si="0"/>
        <v>3.3377624753350124</v>
      </c>
      <c r="J27">
        <v>25</v>
      </c>
      <c r="K27" s="17">
        <f t="shared" si="1"/>
        <v>19</v>
      </c>
      <c r="L27" s="17">
        <f t="shared" si="2"/>
        <v>37</v>
      </c>
      <c r="M27" s="17">
        <f t="shared" si="5"/>
        <v>2.9487780973285167</v>
      </c>
      <c r="N27" s="17">
        <f t="shared" si="3"/>
        <v>3.6174451307817681</v>
      </c>
      <c r="Q27" s="6" t="s">
        <v>35</v>
      </c>
      <c r="R27" s="6"/>
      <c r="S27" s="6"/>
    </row>
    <row r="28" spans="1:21" x14ac:dyDescent="0.25">
      <c r="A28">
        <v>26</v>
      </c>
      <c r="B28" s="27">
        <v>28</v>
      </c>
      <c r="C28" s="27">
        <v>28</v>
      </c>
      <c r="D28">
        <v>1</v>
      </c>
      <c r="F28">
        <v>26</v>
      </c>
      <c r="G28" s="17">
        <f t="shared" si="4"/>
        <v>3.3377624753350124</v>
      </c>
      <c r="H28" s="17">
        <f t="shared" si="0"/>
        <v>3.3377624753350124</v>
      </c>
      <c r="J28">
        <v>26</v>
      </c>
      <c r="K28" s="17">
        <f t="shared" si="1"/>
        <v>19</v>
      </c>
      <c r="L28" s="17">
        <f t="shared" si="2"/>
        <v>37</v>
      </c>
      <c r="M28" s="17">
        <f t="shared" si="5"/>
        <v>2.9487780973285167</v>
      </c>
      <c r="N28" s="17">
        <f t="shared" si="3"/>
        <v>3.6174451307817681</v>
      </c>
      <c r="Q28" s="5"/>
      <c r="R28" t="s">
        <v>19</v>
      </c>
      <c r="T28" s="4" t="s">
        <v>45</v>
      </c>
      <c r="U28" s="5"/>
    </row>
    <row r="29" spans="1:21" x14ac:dyDescent="0.25">
      <c r="A29">
        <v>27</v>
      </c>
      <c r="B29" s="27">
        <v>10</v>
      </c>
      <c r="C29" s="27">
        <v>10</v>
      </c>
      <c r="D29">
        <v>0</v>
      </c>
      <c r="F29">
        <v>27</v>
      </c>
      <c r="G29" s="17">
        <f t="shared" si="4"/>
        <v>2.3052380778996162</v>
      </c>
      <c r="H29" s="17">
        <f t="shared" si="0"/>
        <v>2.3052380778996162</v>
      </c>
      <c r="J29">
        <v>27</v>
      </c>
      <c r="K29" s="17">
        <f t="shared" si="1"/>
        <v>19</v>
      </c>
      <c r="L29" s="17">
        <f t="shared" si="2"/>
        <v>1</v>
      </c>
      <c r="M29" s="17">
        <f t="shared" si="5"/>
        <v>2.9487780973285167</v>
      </c>
      <c r="N29" s="17">
        <f t="shared" si="3"/>
        <v>0</v>
      </c>
      <c r="Q29" s="8"/>
      <c r="R29" s="9" t="s">
        <v>1</v>
      </c>
      <c r="S29" s="10" t="s">
        <v>18</v>
      </c>
      <c r="T29" s="1" t="s">
        <v>1</v>
      </c>
      <c r="U29" s="9" t="s">
        <v>18</v>
      </c>
    </row>
    <row r="30" spans="1:21" x14ac:dyDescent="0.25">
      <c r="A30">
        <v>28</v>
      </c>
      <c r="B30" s="27">
        <v>10</v>
      </c>
      <c r="C30" s="27">
        <v>10</v>
      </c>
      <c r="D30">
        <v>0</v>
      </c>
      <c r="F30">
        <v>28</v>
      </c>
      <c r="G30" s="17">
        <f t="shared" si="4"/>
        <v>2.3052380778996162</v>
      </c>
      <c r="H30" s="17">
        <f t="shared" si="0"/>
        <v>2.3052380778996162</v>
      </c>
      <c r="J30">
        <v>28</v>
      </c>
      <c r="K30" s="17">
        <f t="shared" si="1"/>
        <v>19</v>
      </c>
      <c r="L30" s="17">
        <f t="shared" si="2"/>
        <v>1</v>
      </c>
      <c r="M30" s="17">
        <f t="shared" si="5"/>
        <v>2.9487780973285167</v>
      </c>
      <c r="N30" s="17">
        <f t="shared" si="3"/>
        <v>0</v>
      </c>
      <c r="Q30" s="7" t="s">
        <v>17</v>
      </c>
      <c r="R30" s="18">
        <f>AVERAGE(G3:G32)</f>
        <v>2.8903352364463406</v>
      </c>
      <c r="S30" s="19">
        <f>AVERAGE(M3:M32)</f>
        <v>2.9487780973285154</v>
      </c>
      <c r="T30" s="18">
        <f>1/2*((R6^(1-T4)-1)/(1-T4)+(R7^(1-T4)-1)/(1-T4))</f>
        <v>2.8215002766173143</v>
      </c>
      <c r="U30" s="19">
        <f>1/2*(((R6+T11)^(1-T4)-1)/(1-T4)+((R7-T10)^(1-T4)-1)/(1-T4))</f>
        <v>2.9487780973285167</v>
      </c>
    </row>
    <row r="31" spans="1:21" x14ac:dyDescent="0.25">
      <c r="A31">
        <v>29</v>
      </c>
      <c r="B31" s="27">
        <v>10</v>
      </c>
      <c r="C31" s="27">
        <v>10</v>
      </c>
      <c r="D31">
        <v>0</v>
      </c>
      <c r="F31">
        <v>29</v>
      </c>
      <c r="G31" s="17">
        <f t="shared" si="4"/>
        <v>2.3052380778996162</v>
      </c>
      <c r="H31" s="17">
        <f t="shared" si="0"/>
        <v>2.3052380778996162</v>
      </c>
      <c r="J31">
        <v>29</v>
      </c>
      <c r="K31" s="17">
        <f t="shared" si="1"/>
        <v>19</v>
      </c>
      <c r="L31" s="17">
        <f t="shared" si="2"/>
        <v>1</v>
      </c>
      <c r="M31" s="17">
        <f t="shared" si="5"/>
        <v>2.9487780973285167</v>
      </c>
      <c r="N31" s="17">
        <f t="shared" si="3"/>
        <v>0</v>
      </c>
      <c r="Q31" s="8" t="s">
        <v>16</v>
      </c>
      <c r="R31" s="20">
        <f>AVERAGE(H3:H32)</f>
        <v>2.8903352364463406</v>
      </c>
      <c r="S31" s="21">
        <f>AVERAGE(N3:N32)</f>
        <v>2.0498855741096684</v>
      </c>
      <c r="T31" s="20">
        <f>1/2*((T6^(1-T4)-1)/(1-T4)+(T7^(1-T4)-1)/(1-T4))</f>
        <v>2.8215002766173143</v>
      </c>
      <c r="U31" s="22">
        <f>1/2*(((T6-T11)^(1-T4)-1)/(1-T4)+((T7+T10)^(1-T4)-1)/(1-T4))</f>
        <v>1.8087225653908841</v>
      </c>
    </row>
    <row r="32" spans="1:21" x14ac:dyDescent="0.25">
      <c r="A32">
        <v>30</v>
      </c>
      <c r="B32" s="27">
        <v>10</v>
      </c>
      <c r="C32" s="27">
        <v>10</v>
      </c>
      <c r="D32">
        <v>0</v>
      </c>
      <c r="F32">
        <v>30</v>
      </c>
      <c r="G32" s="17">
        <f t="shared" si="4"/>
        <v>2.3052380778996162</v>
      </c>
      <c r="H32" s="17">
        <f t="shared" si="0"/>
        <v>2.3052380778996162</v>
      </c>
      <c r="J32">
        <v>30</v>
      </c>
      <c r="K32" s="17">
        <f t="shared" si="1"/>
        <v>19</v>
      </c>
      <c r="L32" s="17">
        <f t="shared" si="2"/>
        <v>1</v>
      </c>
      <c r="M32" s="17">
        <f t="shared" si="5"/>
        <v>2.9487780973285167</v>
      </c>
      <c r="N32" s="17">
        <f t="shared" si="3"/>
        <v>0</v>
      </c>
    </row>
    <row r="34" spans="6:7" x14ac:dyDescent="0.25">
      <c r="G34" t="s">
        <v>43</v>
      </c>
    </row>
    <row r="35" spans="6:7" x14ac:dyDescent="0.25">
      <c r="F35" s="3"/>
    </row>
    <row r="36" spans="6:7" x14ac:dyDescent="0.25">
      <c r="F36" s="3"/>
      <c r="G36" s="11"/>
    </row>
    <row r="37" spans="6:7" x14ac:dyDescent="0.25">
      <c r="F37" s="3"/>
    </row>
    <row r="38" spans="6:7" x14ac:dyDescent="0.25">
      <c r="F38" s="3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meShock">
                <anchor moveWithCells="1" sizeWithCells="1">
                  <from>
                    <xdr:col>16</xdr:col>
                    <xdr:colOff>28575</xdr:colOff>
                    <xdr:row>15</xdr:row>
                    <xdr:rowOff>28575</xdr:rowOff>
                  </from>
                  <to>
                    <xdr:col>18</xdr:col>
                    <xdr:colOff>609600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U38"/>
  <sheetViews>
    <sheetView zoomScale="90" zoomScaleNormal="90" zoomScalePageLayoutView="90" workbookViewId="0">
      <selection activeCell="S8" sqref="S8"/>
    </sheetView>
  </sheetViews>
  <sheetFormatPr defaultColWidth="11" defaultRowHeight="15.75" x14ac:dyDescent="0.25"/>
  <cols>
    <col min="1" max="1" width="12" customWidth="1"/>
    <col min="2" max="2" width="11" customWidth="1"/>
  </cols>
  <sheetData>
    <row r="1" spans="1:21" x14ac:dyDescent="0.25">
      <c r="A1" t="s">
        <v>28</v>
      </c>
      <c r="G1" t="s">
        <v>30</v>
      </c>
      <c r="K1" t="s">
        <v>29</v>
      </c>
      <c r="Q1" t="s">
        <v>13</v>
      </c>
    </row>
    <row r="2" spans="1:21" x14ac:dyDescent="0.25">
      <c r="A2" t="s">
        <v>0</v>
      </c>
      <c r="B2" t="s">
        <v>23</v>
      </c>
      <c r="C2" t="s">
        <v>22</v>
      </c>
      <c r="D2" t="s">
        <v>46</v>
      </c>
      <c r="E2" t="s">
        <v>47</v>
      </c>
      <c r="G2" t="s">
        <v>0</v>
      </c>
      <c r="H2" t="s">
        <v>25</v>
      </c>
      <c r="I2" t="s">
        <v>24</v>
      </c>
      <c r="K2" t="s">
        <v>0</v>
      </c>
      <c r="L2" t="s">
        <v>56</v>
      </c>
      <c r="M2" t="s">
        <v>57</v>
      </c>
      <c r="N2" t="s">
        <v>26</v>
      </c>
      <c r="O2" t="s">
        <v>27</v>
      </c>
      <c r="Q2" t="s">
        <v>2</v>
      </c>
    </row>
    <row r="3" spans="1:21" x14ac:dyDescent="0.25">
      <c r="A3">
        <v>1</v>
      </c>
      <c r="B3" s="27">
        <v>28</v>
      </c>
      <c r="C3" s="27">
        <v>10</v>
      </c>
      <c r="D3">
        <v>1</v>
      </c>
      <c r="E3">
        <v>0</v>
      </c>
      <c r="G3">
        <v>1</v>
      </c>
      <c r="H3" s="16">
        <f t="shared" ref="H3:H32" si="0">(POWER(B3, 1-$T$4)-1)/(1-$T$4)</f>
        <v>3.3377624753350124</v>
      </c>
      <c r="I3" s="16">
        <f t="shared" ref="I3:I32" si="1">(POWER(C3, 1-$T$4)-1)/(1-$T$4)</f>
        <v>2.3052380778996162</v>
      </c>
      <c r="K3">
        <v>1</v>
      </c>
      <c r="L3" s="17">
        <f>B3-D3*$T$10+E3*$T$11</f>
        <v>22</v>
      </c>
      <c r="M3" s="17">
        <f>C3+D3*$T$10-E3*$T$11</f>
        <v>16</v>
      </c>
      <c r="N3" s="16">
        <f>(POWER(B3-D3*$T$10+E3*$T$11, 1-$T$4)-1)/(1-$T$4)</f>
        <v>3.0958246511385541</v>
      </c>
      <c r="O3" s="16">
        <f>(POWER(C3+D3*$T$10-E3*$T$11, 1-$T$4)-1)/(1-$T$4)</f>
        <v>2.7764359010777868</v>
      </c>
      <c r="Q3" t="s">
        <v>14</v>
      </c>
      <c r="S3" t="s">
        <v>15</v>
      </c>
    </row>
    <row r="4" spans="1:21" x14ac:dyDescent="0.25">
      <c r="A4">
        <v>2</v>
      </c>
      <c r="B4" s="27">
        <v>28</v>
      </c>
      <c r="C4" s="27">
        <v>10</v>
      </c>
      <c r="D4">
        <v>1</v>
      </c>
      <c r="E4">
        <v>0</v>
      </c>
      <c r="G4">
        <v>2</v>
      </c>
      <c r="H4" s="16">
        <f t="shared" si="0"/>
        <v>3.3377624753350124</v>
      </c>
      <c r="I4" s="16">
        <f t="shared" si="1"/>
        <v>2.3052380778996162</v>
      </c>
      <c r="K4">
        <v>2</v>
      </c>
      <c r="L4" s="17">
        <f t="shared" ref="L4:L32" si="2">B4-D4*$T$10+E4*$T$11</f>
        <v>22</v>
      </c>
      <c r="M4" s="17">
        <f t="shared" ref="M4:M32" si="3">C4+D4*$T$10-E4*$T$11</f>
        <v>16</v>
      </c>
      <c r="N4" s="16">
        <f t="shared" ref="N4:N32" si="4">(POWER(B4-D4*$T$10+E4*$T$11, 1-$T$4)-1)/(1-$T$4)</f>
        <v>3.0958246511385541</v>
      </c>
      <c r="O4" s="16">
        <f t="shared" ref="O4:O32" si="5">(POWER(C4+D4*$T$10-E4*$T$11, 1-$T$4)-1)/(1-$T$4)</f>
        <v>2.7764359010777868</v>
      </c>
      <c r="Q4" t="s">
        <v>3</v>
      </c>
      <c r="R4" s="14"/>
      <c r="T4" s="12">
        <v>0.999</v>
      </c>
      <c r="U4" t="s">
        <v>44</v>
      </c>
    </row>
    <row r="5" spans="1:21" x14ac:dyDescent="0.25">
      <c r="A5">
        <v>3</v>
      </c>
      <c r="B5" s="27">
        <v>28</v>
      </c>
      <c r="C5" s="27">
        <v>28</v>
      </c>
      <c r="D5">
        <v>1</v>
      </c>
      <c r="E5">
        <v>1</v>
      </c>
      <c r="G5">
        <v>3</v>
      </c>
      <c r="H5" s="16">
        <f t="shared" si="0"/>
        <v>3.3377624753350124</v>
      </c>
      <c r="I5" s="16">
        <f t="shared" si="1"/>
        <v>3.3377624753350124</v>
      </c>
      <c r="K5">
        <v>3</v>
      </c>
      <c r="L5" s="17">
        <f t="shared" si="2"/>
        <v>29</v>
      </c>
      <c r="M5" s="17">
        <f t="shared" si="3"/>
        <v>27</v>
      </c>
      <c r="N5" s="16">
        <f t="shared" si="4"/>
        <v>3.3729715393993023</v>
      </c>
      <c r="O5" s="16">
        <f t="shared" si="5"/>
        <v>3.3012741081079846</v>
      </c>
      <c r="R5" s="12"/>
      <c r="T5" s="13"/>
    </row>
    <row r="6" spans="1:21" x14ac:dyDescent="0.25">
      <c r="A6">
        <v>4</v>
      </c>
      <c r="B6" s="27">
        <v>10</v>
      </c>
      <c r="C6" s="27">
        <v>28</v>
      </c>
      <c r="D6">
        <v>0</v>
      </c>
      <c r="E6">
        <v>1</v>
      </c>
      <c r="G6">
        <v>4</v>
      </c>
      <c r="H6" s="16">
        <f t="shared" si="0"/>
        <v>2.3052380778996162</v>
      </c>
      <c r="I6" s="16">
        <f t="shared" si="1"/>
        <v>3.3377624753350124</v>
      </c>
      <c r="K6">
        <v>4</v>
      </c>
      <c r="L6" s="17">
        <f t="shared" si="2"/>
        <v>17</v>
      </c>
      <c r="M6" s="17">
        <f t="shared" si="3"/>
        <v>21</v>
      </c>
      <c r="N6" s="16">
        <f t="shared" si="4"/>
        <v>2.8372306860824343</v>
      </c>
      <c r="O6" s="16">
        <f t="shared" si="5"/>
        <v>3.0491617030814462</v>
      </c>
      <c r="Q6" t="s">
        <v>31</v>
      </c>
      <c r="R6" s="12">
        <v>10</v>
      </c>
      <c r="T6" s="13">
        <v>10</v>
      </c>
      <c r="U6" t="s">
        <v>33</v>
      </c>
    </row>
    <row r="7" spans="1:21" x14ac:dyDescent="0.25">
      <c r="A7">
        <v>5</v>
      </c>
      <c r="B7" s="27">
        <v>28</v>
      </c>
      <c r="C7" s="27">
        <v>28</v>
      </c>
      <c r="D7">
        <v>1</v>
      </c>
      <c r="E7">
        <v>1</v>
      </c>
      <c r="G7">
        <v>5</v>
      </c>
      <c r="H7" s="16">
        <f t="shared" si="0"/>
        <v>3.3377624753350124</v>
      </c>
      <c r="I7" s="16">
        <f t="shared" si="1"/>
        <v>3.3377624753350124</v>
      </c>
      <c r="K7">
        <v>5</v>
      </c>
      <c r="L7" s="17">
        <f t="shared" si="2"/>
        <v>29</v>
      </c>
      <c r="M7" s="17">
        <f t="shared" si="3"/>
        <v>27</v>
      </c>
      <c r="N7" s="16">
        <f t="shared" si="4"/>
        <v>3.3729715393993023</v>
      </c>
      <c r="O7" s="16">
        <f t="shared" si="5"/>
        <v>3.3012741081079846</v>
      </c>
      <c r="Q7" t="s">
        <v>32</v>
      </c>
      <c r="R7" s="12">
        <v>28</v>
      </c>
      <c r="T7" s="13">
        <v>28</v>
      </c>
      <c r="U7" t="s">
        <v>34</v>
      </c>
    </row>
    <row r="8" spans="1:21" x14ac:dyDescent="0.25">
      <c r="A8">
        <v>6</v>
      </c>
      <c r="B8" s="27">
        <v>10</v>
      </c>
      <c r="C8" s="27">
        <v>28</v>
      </c>
      <c r="D8">
        <v>0</v>
      </c>
      <c r="E8">
        <v>1</v>
      </c>
      <c r="G8">
        <v>6</v>
      </c>
      <c r="H8" s="16">
        <f t="shared" si="0"/>
        <v>2.3052380778996162</v>
      </c>
      <c r="I8" s="16">
        <f t="shared" si="1"/>
        <v>3.3377624753350124</v>
      </c>
      <c r="K8">
        <v>6</v>
      </c>
      <c r="L8" s="17">
        <f t="shared" si="2"/>
        <v>17</v>
      </c>
      <c r="M8" s="17">
        <f t="shared" si="3"/>
        <v>21</v>
      </c>
      <c r="N8" s="16">
        <f t="shared" si="4"/>
        <v>2.8372306860824343</v>
      </c>
      <c r="O8" s="16">
        <f t="shared" si="5"/>
        <v>3.0491617030814462</v>
      </c>
      <c r="Q8" t="s">
        <v>10</v>
      </c>
      <c r="R8" t="s">
        <v>4</v>
      </c>
      <c r="S8" t="s">
        <v>10</v>
      </c>
      <c r="T8" t="s">
        <v>5</v>
      </c>
    </row>
    <row r="9" spans="1:21" x14ac:dyDescent="0.25">
      <c r="A9">
        <v>7</v>
      </c>
      <c r="B9" s="27">
        <v>28</v>
      </c>
      <c r="C9" s="27">
        <v>28</v>
      </c>
      <c r="D9">
        <v>1</v>
      </c>
      <c r="E9">
        <v>1</v>
      </c>
      <c r="G9">
        <v>7</v>
      </c>
      <c r="H9" s="16">
        <f t="shared" si="0"/>
        <v>3.3377624753350124</v>
      </c>
      <c r="I9" s="16">
        <f t="shared" si="1"/>
        <v>3.3377624753350124</v>
      </c>
      <c r="K9">
        <v>7</v>
      </c>
      <c r="L9" s="17">
        <f t="shared" si="2"/>
        <v>29</v>
      </c>
      <c r="M9" s="17">
        <f t="shared" si="3"/>
        <v>27</v>
      </c>
      <c r="N9" s="16">
        <f t="shared" si="4"/>
        <v>3.3729715393993023</v>
      </c>
      <c r="O9" s="16">
        <f t="shared" si="5"/>
        <v>3.3012741081079846</v>
      </c>
      <c r="R9" t="s">
        <v>11</v>
      </c>
      <c r="T9" t="s">
        <v>12</v>
      </c>
    </row>
    <row r="10" spans="1:21" x14ac:dyDescent="0.25">
      <c r="A10">
        <v>8</v>
      </c>
      <c r="B10" s="27">
        <v>10</v>
      </c>
      <c r="C10" s="27">
        <v>28</v>
      </c>
      <c r="D10">
        <v>0</v>
      </c>
      <c r="E10">
        <v>1</v>
      </c>
      <c r="G10">
        <v>8</v>
      </c>
      <c r="H10" s="16">
        <f t="shared" si="0"/>
        <v>2.3052380778996162</v>
      </c>
      <c r="I10" s="16">
        <f t="shared" si="1"/>
        <v>3.3377624753350124</v>
      </c>
      <c r="K10">
        <v>8</v>
      </c>
      <c r="L10" s="17">
        <f t="shared" si="2"/>
        <v>17</v>
      </c>
      <c r="M10" s="17">
        <f t="shared" si="3"/>
        <v>21</v>
      </c>
      <c r="N10" s="16">
        <f t="shared" si="4"/>
        <v>2.8372306860824343</v>
      </c>
      <c r="O10" s="16">
        <f t="shared" si="5"/>
        <v>3.0491617030814462</v>
      </c>
      <c r="Q10" t="s">
        <v>36</v>
      </c>
      <c r="T10" s="15">
        <v>6</v>
      </c>
    </row>
    <row r="11" spans="1:21" x14ac:dyDescent="0.25">
      <c r="A11">
        <v>9</v>
      </c>
      <c r="B11" s="27">
        <v>10</v>
      </c>
      <c r="C11" s="27">
        <v>10</v>
      </c>
      <c r="D11">
        <v>0</v>
      </c>
      <c r="E11">
        <v>0</v>
      </c>
      <c r="G11">
        <v>9</v>
      </c>
      <c r="H11" s="16">
        <f t="shared" si="0"/>
        <v>2.3052380778996162</v>
      </c>
      <c r="I11" s="16">
        <f t="shared" si="1"/>
        <v>2.3052380778996162</v>
      </c>
      <c r="K11">
        <v>9</v>
      </c>
      <c r="L11" s="17">
        <f t="shared" si="2"/>
        <v>10</v>
      </c>
      <c r="M11" s="17">
        <f t="shared" si="3"/>
        <v>10</v>
      </c>
      <c r="N11" s="16">
        <f t="shared" si="4"/>
        <v>2.3052380778996162</v>
      </c>
      <c r="O11" s="16">
        <f t="shared" si="5"/>
        <v>2.3052380778996162</v>
      </c>
      <c r="Q11" t="s">
        <v>51</v>
      </c>
      <c r="T11" s="15">
        <v>7</v>
      </c>
    </row>
    <row r="12" spans="1:21" x14ac:dyDescent="0.25">
      <c r="A12">
        <v>10</v>
      </c>
      <c r="B12" s="27">
        <v>28</v>
      </c>
      <c r="C12" s="27">
        <v>10</v>
      </c>
      <c r="D12">
        <v>1</v>
      </c>
      <c r="E12">
        <v>0</v>
      </c>
      <c r="G12">
        <v>10</v>
      </c>
      <c r="H12" s="16">
        <f t="shared" si="0"/>
        <v>3.3377624753350124</v>
      </c>
      <c r="I12" s="16">
        <f t="shared" si="1"/>
        <v>2.3052380778996162</v>
      </c>
      <c r="K12">
        <v>10</v>
      </c>
      <c r="L12" s="17">
        <f t="shared" si="2"/>
        <v>22</v>
      </c>
      <c r="M12" s="17">
        <f t="shared" si="3"/>
        <v>16</v>
      </c>
      <c r="N12" s="16">
        <f t="shared" si="4"/>
        <v>3.0958246511385541</v>
      </c>
      <c r="O12" s="16">
        <f t="shared" si="5"/>
        <v>2.7764359010777868</v>
      </c>
    </row>
    <row r="13" spans="1:21" x14ac:dyDescent="0.25">
      <c r="A13">
        <v>11</v>
      </c>
      <c r="B13" s="27">
        <v>28</v>
      </c>
      <c r="C13" s="27">
        <v>28</v>
      </c>
      <c r="D13">
        <v>1</v>
      </c>
      <c r="E13">
        <v>1</v>
      </c>
      <c r="G13">
        <v>11</v>
      </c>
      <c r="H13" s="16">
        <f t="shared" si="0"/>
        <v>3.3377624753350124</v>
      </c>
      <c r="I13" s="16">
        <f t="shared" si="1"/>
        <v>3.3377624753350124</v>
      </c>
      <c r="K13">
        <v>11</v>
      </c>
      <c r="L13" s="17">
        <f t="shared" si="2"/>
        <v>29</v>
      </c>
      <c r="M13" s="17">
        <f t="shared" si="3"/>
        <v>27</v>
      </c>
      <c r="N13" s="16">
        <f t="shared" si="4"/>
        <v>3.3729715393993023</v>
      </c>
      <c r="O13" s="16">
        <f t="shared" si="5"/>
        <v>3.3012741081079846</v>
      </c>
      <c r="Q13" t="s">
        <v>40</v>
      </c>
    </row>
    <row r="14" spans="1:21" x14ac:dyDescent="0.25">
      <c r="A14">
        <v>12</v>
      </c>
      <c r="B14" s="27">
        <v>28</v>
      </c>
      <c r="C14" s="27">
        <v>28</v>
      </c>
      <c r="D14">
        <v>1</v>
      </c>
      <c r="E14">
        <v>1</v>
      </c>
      <c r="G14">
        <v>12</v>
      </c>
      <c r="H14" s="16">
        <f t="shared" si="0"/>
        <v>3.3377624753350124</v>
      </c>
      <c r="I14" s="16">
        <f t="shared" si="1"/>
        <v>3.3377624753350124</v>
      </c>
      <c r="K14">
        <v>12</v>
      </c>
      <c r="L14" s="17">
        <f t="shared" si="2"/>
        <v>29</v>
      </c>
      <c r="M14" s="17">
        <f t="shared" si="3"/>
        <v>27</v>
      </c>
      <c r="N14" s="16">
        <f t="shared" si="4"/>
        <v>3.3729715393993023</v>
      </c>
      <c r="O14" s="16">
        <f t="shared" si="5"/>
        <v>3.3012741081079846</v>
      </c>
    </row>
    <row r="15" spans="1:21" x14ac:dyDescent="0.25">
      <c r="A15">
        <v>13</v>
      </c>
      <c r="B15" s="27">
        <v>28</v>
      </c>
      <c r="C15" s="27">
        <v>28</v>
      </c>
      <c r="D15">
        <v>1</v>
      </c>
      <c r="E15">
        <v>1</v>
      </c>
      <c r="G15">
        <v>13</v>
      </c>
      <c r="H15" s="16">
        <f t="shared" si="0"/>
        <v>3.3377624753350124</v>
      </c>
      <c r="I15" s="16">
        <f t="shared" si="1"/>
        <v>3.3377624753350124</v>
      </c>
      <c r="K15">
        <v>13</v>
      </c>
      <c r="L15" s="17">
        <f t="shared" si="2"/>
        <v>29</v>
      </c>
      <c r="M15" s="17">
        <f t="shared" si="3"/>
        <v>27</v>
      </c>
      <c r="N15" s="16">
        <f t="shared" si="4"/>
        <v>3.3729715393993023</v>
      </c>
      <c r="O15" s="16">
        <f t="shared" si="5"/>
        <v>3.3012741081079846</v>
      </c>
    </row>
    <row r="16" spans="1:21" x14ac:dyDescent="0.25">
      <c r="A16">
        <v>14</v>
      </c>
      <c r="B16" s="27">
        <v>10</v>
      </c>
      <c r="C16" s="27">
        <v>28</v>
      </c>
      <c r="D16">
        <v>0</v>
      </c>
      <c r="E16">
        <v>1</v>
      </c>
      <c r="G16">
        <v>14</v>
      </c>
      <c r="H16" s="16">
        <f t="shared" si="0"/>
        <v>2.3052380778996162</v>
      </c>
      <c r="I16" s="16">
        <f t="shared" si="1"/>
        <v>3.3377624753350124</v>
      </c>
      <c r="K16">
        <v>14</v>
      </c>
      <c r="L16" s="17">
        <f t="shared" si="2"/>
        <v>17</v>
      </c>
      <c r="M16" s="17">
        <f t="shared" si="3"/>
        <v>21</v>
      </c>
      <c r="N16" s="16">
        <f t="shared" si="4"/>
        <v>2.8372306860824343</v>
      </c>
      <c r="O16" s="16">
        <f t="shared" si="5"/>
        <v>3.0491617030814462</v>
      </c>
    </row>
    <row r="17" spans="1:21" x14ac:dyDescent="0.25">
      <c r="A17">
        <v>15</v>
      </c>
      <c r="B17" s="27">
        <v>28</v>
      </c>
      <c r="C17" s="27">
        <v>10</v>
      </c>
      <c r="D17">
        <v>1</v>
      </c>
      <c r="E17">
        <v>0</v>
      </c>
      <c r="G17">
        <v>15</v>
      </c>
      <c r="H17" s="16">
        <f t="shared" si="0"/>
        <v>3.3377624753350124</v>
      </c>
      <c r="I17" s="16">
        <f t="shared" si="1"/>
        <v>2.3052380778996162</v>
      </c>
      <c r="K17">
        <v>15</v>
      </c>
      <c r="L17" s="17">
        <f t="shared" si="2"/>
        <v>22</v>
      </c>
      <c r="M17" s="17">
        <f t="shared" si="3"/>
        <v>16</v>
      </c>
      <c r="N17" s="16">
        <f t="shared" si="4"/>
        <v>3.0958246511385541</v>
      </c>
      <c r="O17" s="16">
        <f t="shared" si="5"/>
        <v>2.7764359010777868</v>
      </c>
      <c r="Q17" s="2"/>
      <c r="R17" s="10" t="s">
        <v>21</v>
      </c>
      <c r="S17" s="9"/>
    </row>
    <row r="18" spans="1:21" x14ac:dyDescent="0.25">
      <c r="A18">
        <v>16</v>
      </c>
      <c r="B18" s="27">
        <v>28</v>
      </c>
      <c r="C18" s="27">
        <v>10</v>
      </c>
      <c r="D18">
        <v>1</v>
      </c>
      <c r="E18">
        <v>0</v>
      </c>
      <c r="G18">
        <v>16</v>
      </c>
      <c r="H18" s="16">
        <f t="shared" si="0"/>
        <v>3.3377624753350124</v>
      </c>
      <c r="I18" s="16">
        <f t="shared" si="1"/>
        <v>2.3052380778996162</v>
      </c>
      <c r="K18">
        <v>16</v>
      </c>
      <c r="L18" s="17">
        <f t="shared" si="2"/>
        <v>22</v>
      </c>
      <c r="M18" s="17">
        <f t="shared" si="3"/>
        <v>16</v>
      </c>
      <c r="N18" s="16">
        <f t="shared" si="4"/>
        <v>3.0958246511385541</v>
      </c>
      <c r="O18" s="16">
        <f t="shared" si="5"/>
        <v>2.7764359010777868</v>
      </c>
      <c r="Q18" s="8"/>
      <c r="R18" s="1" t="s">
        <v>6</v>
      </c>
      <c r="S18" s="1" t="s">
        <v>7</v>
      </c>
    </row>
    <row r="19" spans="1:21" x14ac:dyDescent="0.25">
      <c r="A19">
        <v>17</v>
      </c>
      <c r="B19" s="27">
        <v>10</v>
      </c>
      <c r="C19" s="27">
        <v>28</v>
      </c>
      <c r="D19">
        <v>0</v>
      </c>
      <c r="E19">
        <v>1</v>
      </c>
      <c r="G19">
        <v>17</v>
      </c>
      <c r="H19" s="16">
        <f t="shared" si="0"/>
        <v>2.3052380778996162</v>
      </c>
      <c r="I19" s="16">
        <f t="shared" si="1"/>
        <v>3.3377624753350124</v>
      </c>
      <c r="K19">
        <v>17</v>
      </c>
      <c r="L19" s="17">
        <f t="shared" si="2"/>
        <v>17</v>
      </c>
      <c r="M19" s="17">
        <f t="shared" si="3"/>
        <v>21</v>
      </c>
      <c r="N19" s="16">
        <f t="shared" si="4"/>
        <v>2.8372306860824343</v>
      </c>
      <c r="O19" s="16">
        <f t="shared" si="5"/>
        <v>3.0491617030814462</v>
      </c>
      <c r="Q19" s="1" t="s">
        <v>39</v>
      </c>
      <c r="R19" s="1">
        <f>R7</f>
        <v>28</v>
      </c>
      <c r="S19" s="1">
        <f>R6</f>
        <v>10</v>
      </c>
    </row>
    <row r="20" spans="1:21" x14ac:dyDescent="0.25">
      <c r="A20">
        <v>18</v>
      </c>
      <c r="B20" s="27">
        <v>28</v>
      </c>
      <c r="C20" s="27">
        <v>10</v>
      </c>
      <c r="D20">
        <v>1</v>
      </c>
      <c r="E20">
        <v>0</v>
      </c>
      <c r="G20">
        <v>18</v>
      </c>
      <c r="H20" s="16">
        <f t="shared" si="0"/>
        <v>3.3377624753350124</v>
      </c>
      <c r="I20" s="16">
        <f t="shared" si="1"/>
        <v>2.3052380778996162</v>
      </c>
      <c r="K20">
        <v>18</v>
      </c>
      <c r="L20" s="17">
        <f t="shared" si="2"/>
        <v>22</v>
      </c>
      <c r="M20" s="17">
        <f t="shared" si="3"/>
        <v>16</v>
      </c>
      <c r="N20" s="16">
        <f t="shared" si="4"/>
        <v>3.0958246511385541</v>
      </c>
      <c r="O20" s="16">
        <f t="shared" si="5"/>
        <v>2.7764359010777868</v>
      </c>
      <c r="Q20" s="1" t="s">
        <v>38</v>
      </c>
      <c r="R20" s="1">
        <f>T7</f>
        <v>28</v>
      </c>
      <c r="S20" s="1">
        <f>T6</f>
        <v>10</v>
      </c>
    </row>
    <row r="21" spans="1:21" x14ac:dyDescent="0.25">
      <c r="A21">
        <v>19</v>
      </c>
      <c r="B21" s="27">
        <v>28</v>
      </c>
      <c r="C21" s="27">
        <v>28</v>
      </c>
      <c r="D21">
        <v>1</v>
      </c>
      <c r="E21">
        <v>1</v>
      </c>
      <c r="G21">
        <v>19</v>
      </c>
      <c r="H21" s="16">
        <f t="shared" si="0"/>
        <v>3.3377624753350124</v>
      </c>
      <c r="I21" s="16">
        <f t="shared" si="1"/>
        <v>3.3377624753350124</v>
      </c>
      <c r="K21">
        <v>19</v>
      </c>
      <c r="L21" s="17">
        <f t="shared" si="2"/>
        <v>29</v>
      </c>
      <c r="M21" s="17">
        <f t="shared" si="3"/>
        <v>27</v>
      </c>
      <c r="N21" s="16">
        <f t="shared" si="4"/>
        <v>3.3729715393993023</v>
      </c>
      <c r="O21" s="16">
        <f t="shared" si="5"/>
        <v>3.3012741081079846</v>
      </c>
    </row>
    <row r="22" spans="1:21" x14ac:dyDescent="0.25">
      <c r="A22">
        <v>20</v>
      </c>
      <c r="B22" s="27">
        <v>10</v>
      </c>
      <c r="C22" s="27">
        <v>28</v>
      </c>
      <c r="D22">
        <v>0</v>
      </c>
      <c r="E22">
        <v>1</v>
      </c>
      <c r="G22">
        <v>20</v>
      </c>
      <c r="H22" s="16">
        <f t="shared" si="0"/>
        <v>2.3052380778996162</v>
      </c>
      <c r="I22" s="16">
        <f t="shared" si="1"/>
        <v>3.3377624753350124</v>
      </c>
      <c r="K22">
        <v>20</v>
      </c>
      <c r="L22" s="17">
        <f t="shared" si="2"/>
        <v>17</v>
      </c>
      <c r="M22" s="17">
        <f t="shared" si="3"/>
        <v>21</v>
      </c>
      <c r="N22" s="16">
        <f t="shared" si="4"/>
        <v>2.8372306860824343</v>
      </c>
      <c r="O22" s="16">
        <f t="shared" si="5"/>
        <v>3.0491617030814462</v>
      </c>
      <c r="Q22" t="s">
        <v>41</v>
      </c>
      <c r="S22">
        <f>AVERAGE(D3:D32)</f>
        <v>0.6333333333333333</v>
      </c>
    </row>
    <row r="23" spans="1:21" x14ac:dyDescent="0.25">
      <c r="A23">
        <v>21</v>
      </c>
      <c r="B23" s="27">
        <v>28</v>
      </c>
      <c r="C23" s="27">
        <v>28</v>
      </c>
      <c r="D23">
        <v>1</v>
      </c>
      <c r="E23">
        <v>1</v>
      </c>
      <c r="G23">
        <v>21</v>
      </c>
      <c r="H23" s="16">
        <f t="shared" si="0"/>
        <v>3.3377624753350124</v>
      </c>
      <c r="I23" s="16">
        <f t="shared" si="1"/>
        <v>3.3377624753350124</v>
      </c>
      <c r="K23">
        <v>21</v>
      </c>
      <c r="L23" s="17">
        <f t="shared" si="2"/>
        <v>29</v>
      </c>
      <c r="M23" s="17">
        <f t="shared" si="3"/>
        <v>27</v>
      </c>
      <c r="N23" s="16">
        <f t="shared" si="4"/>
        <v>3.3729715393993023</v>
      </c>
      <c r="O23" s="16">
        <f t="shared" si="5"/>
        <v>3.3012741081079846</v>
      </c>
      <c r="Q23" t="s">
        <v>49</v>
      </c>
    </row>
    <row r="24" spans="1:21" x14ac:dyDescent="0.25">
      <c r="A24">
        <v>22</v>
      </c>
      <c r="B24" s="27">
        <v>28</v>
      </c>
      <c r="C24" s="27">
        <v>10</v>
      </c>
      <c r="D24">
        <v>1</v>
      </c>
      <c r="E24">
        <v>0</v>
      </c>
      <c r="G24">
        <v>22</v>
      </c>
      <c r="H24" s="16">
        <f t="shared" si="0"/>
        <v>3.3377624753350124</v>
      </c>
      <c r="I24" s="16">
        <f t="shared" si="1"/>
        <v>2.3052380778996162</v>
      </c>
      <c r="K24">
        <v>22</v>
      </c>
      <c r="L24" s="17">
        <f t="shared" si="2"/>
        <v>22</v>
      </c>
      <c r="M24" s="17">
        <f t="shared" si="3"/>
        <v>16</v>
      </c>
      <c r="N24" s="16">
        <f t="shared" si="4"/>
        <v>3.0958246511385541</v>
      </c>
      <c r="O24" s="16">
        <f t="shared" si="5"/>
        <v>2.7764359010777868</v>
      </c>
    </row>
    <row r="25" spans="1:21" x14ac:dyDescent="0.25">
      <c r="A25">
        <v>23</v>
      </c>
      <c r="B25" s="27">
        <v>28</v>
      </c>
      <c r="C25" s="27">
        <v>10</v>
      </c>
      <c r="D25">
        <v>1</v>
      </c>
      <c r="E25">
        <v>0</v>
      </c>
      <c r="G25">
        <v>23</v>
      </c>
      <c r="H25" s="16">
        <f t="shared" si="0"/>
        <v>3.3377624753350124</v>
      </c>
      <c r="I25" s="16">
        <f t="shared" si="1"/>
        <v>2.3052380778996162</v>
      </c>
      <c r="K25">
        <v>23</v>
      </c>
      <c r="L25" s="17">
        <f t="shared" si="2"/>
        <v>22</v>
      </c>
      <c r="M25" s="17">
        <f t="shared" si="3"/>
        <v>16</v>
      </c>
      <c r="N25" s="16">
        <f t="shared" si="4"/>
        <v>3.0958246511385541</v>
      </c>
      <c r="O25" s="16">
        <f t="shared" si="5"/>
        <v>2.7764359010777868</v>
      </c>
      <c r="Q25" t="s">
        <v>41</v>
      </c>
      <c r="S25">
        <f>AVERAGE(E3:E32)</f>
        <v>0.6</v>
      </c>
    </row>
    <row r="26" spans="1:21" x14ac:dyDescent="0.25">
      <c r="A26">
        <v>24</v>
      </c>
      <c r="B26" s="27">
        <v>10</v>
      </c>
      <c r="C26" s="27">
        <v>28</v>
      </c>
      <c r="D26">
        <v>0</v>
      </c>
      <c r="E26">
        <v>1</v>
      </c>
      <c r="G26">
        <v>24</v>
      </c>
      <c r="H26" s="16">
        <f t="shared" si="0"/>
        <v>2.3052380778996162</v>
      </c>
      <c r="I26" s="16">
        <f t="shared" si="1"/>
        <v>3.3377624753350124</v>
      </c>
      <c r="K26">
        <v>24</v>
      </c>
      <c r="L26" s="17">
        <f t="shared" si="2"/>
        <v>17</v>
      </c>
      <c r="M26" s="17">
        <f t="shared" si="3"/>
        <v>21</v>
      </c>
      <c r="N26" s="16">
        <f>(POWER(B26-D26*$T$10+E26*$T$11, 1-$T$4)-1)/(1-$T$4)</f>
        <v>2.8372306860824343</v>
      </c>
      <c r="O26" s="16">
        <f t="shared" si="5"/>
        <v>3.0491617030814462</v>
      </c>
      <c r="Q26" t="s">
        <v>50</v>
      </c>
    </row>
    <row r="27" spans="1:21" x14ac:dyDescent="0.25">
      <c r="A27">
        <v>25</v>
      </c>
      <c r="B27" s="27">
        <v>10</v>
      </c>
      <c r="C27" s="27">
        <v>28</v>
      </c>
      <c r="D27">
        <v>0</v>
      </c>
      <c r="E27">
        <v>1</v>
      </c>
      <c r="G27">
        <v>25</v>
      </c>
      <c r="H27" s="16">
        <f t="shared" si="0"/>
        <v>2.3052380778996162</v>
      </c>
      <c r="I27" s="16">
        <f t="shared" si="1"/>
        <v>3.3377624753350124</v>
      </c>
      <c r="K27">
        <v>25</v>
      </c>
      <c r="L27" s="17">
        <f t="shared" si="2"/>
        <v>17</v>
      </c>
      <c r="M27" s="17">
        <f t="shared" si="3"/>
        <v>21</v>
      </c>
      <c r="N27" s="16">
        <f t="shared" si="4"/>
        <v>2.8372306860824343</v>
      </c>
      <c r="O27" s="16">
        <f t="shared" si="5"/>
        <v>3.0491617030814462</v>
      </c>
    </row>
    <row r="28" spans="1:21" x14ac:dyDescent="0.25">
      <c r="A28">
        <v>26</v>
      </c>
      <c r="B28" s="27">
        <v>28</v>
      </c>
      <c r="C28" s="27">
        <v>28</v>
      </c>
      <c r="D28">
        <v>1</v>
      </c>
      <c r="E28">
        <v>1</v>
      </c>
      <c r="G28">
        <v>26</v>
      </c>
      <c r="H28" s="16">
        <f t="shared" si="0"/>
        <v>3.3377624753350124</v>
      </c>
      <c r="I28" s="16">
        <f t="shared" si="1"/>
        <v>3.3377624753350124</v>
      </c>
      <c r="K28">
        <v>26</v>
      </c>
      <c r="L28" s="17">
        <f t="shared" si="2"/>
        <v>29</v>
      </c>
      <c r="M28" s="17">
        <f t="shared" si="3"/>
        <v>27</v>
      </c>
      <c r="N28" s="16">
        <f t="shared" si="4"/>
        <v>3.3729715393993023</v>
      </c>
      <c r="O28" s="16">
        <f t="shared" si="5"/>
        <v>3.3012741081079846</v>
      </c>
    </row>
    <row r="29" spans="1:21" x14ac:dyDescent="0.25">
      <c r="A29">
        <v>27</v>
      </c>
      <c r="B29" s="27">
        <v>10</v>
      </c>
      <c r="C29" s="27">
        <v>10</v>
      </c>
      <c r="D29">
        <v>0</v>
      </c>
      <c r="E29">
        <v>0</v>
      </c>
      <c r="G29">
        <v>27</v>
      </c>
      <c r="H29" s="16">
        <f t="shared" si="0"/>
        <v>2.3052380778996162</v>
      </c>
      <c r="I29" s="16">
        <f t="shared" si="1"/>
        <v>2.3052380778996162</v>
      </c>
      <c r="K29">
        <v>27</v>
      </c>
      <c r="L29" s="17">
        <f t="shared" si="2"/>
        <v>10</v>
      </c>
      <c r="M29" s="17">
        <f t="shared" si="3"/>
        <v>10</v>
      </c>
      <c r="N29" s="16">
        <f t="shared" si="4"/>
        <v>2.3052380778996162</v>
      </c>
      <c r="O29" s="16">
        <f t="shared" si="5"/>
        <v>2.3052380778996162</v>
      </c>
      <c r="Q29" s="6" t="s">
        <v>35</v>
      </c>
      <c r="R29" s="6"/>
      <c r="S29" s="6"/>
    </row>
    <row r="30" spans="1:21" x14ac:dyDescent="0.25">
      <c r="A30">
        <v>28</v>
      </c>
      <c r="B30" s="27">
        <v>28</v>
      </c>
      <c r="C30" s="27">
        <v>10</v>
      </c>
      <c r="D30">
        <v>1</v>
      </c>
      <c r="E30">
        <v>0</v>
      </c>
      <c r="G30">
        <v>28</v>
      </c>
      <c r="H30" s="16">
        <f t="shared" si="0"/>
        <v>3.3377624753350124</v>
      </c>
      <c r="I30" s="16">
        <f t="shared" si="1"/>
        <v>2.3052380778996162</v>
      </c>
      <c r="K30">
        <v>28</v>
      </c>
      <c r="L30" s="17">
        <f t="shared" si="2"/>
        <v>22</v>
      </c>
      <c r="M30" s="17">
        <f t="shared" si="3"/>
        <v>16</v>
      </c>
      <c r="N30" s="16">
        <f t="shared" si="4"/>
        <v>3.0958246511385541</v>
      </c>
      <c r="O30" s="16">
        <f t="shared" si="5"/>
        <v>2.7764359010777868</v>
      </c>
      <c r="Q30" s="5"/>
      <c r="R30" t="s">
        <v>19</v>
      </c>
      <c r="T30" s="4" t="s">
        <v>45</v>
      </c>
      <c r="U30" s="5"/>
    </row>
    <row r="31" spans="1:21" x14ac:dyDescent="0.25">
      <c r="A31">
        <v>29</v>
      </c>
      <c r="B31" s="27">
        <v>28</v>
      </c>
      <c r="C31" s="27">
        <v>10</v>
      </c>
      <c r="D31">
        <v>1</v>
      </c>
      <c r="E31">
        <v>0</v>
      </c>
      <c r="G31">
        <v>29</v>
      </c>
      <c r="H31" s="16">
        <f t="shared" si="0"/>
        <v>3.3377624753350124</v>
      </c>
      <c r="I31" s="16">
        <f t="shared" si="1"/>
        <v>2.3052380778996162</v>
      </c>
      <c r="K31">
        <v>29</v>
      </c>
      <c r="L31" s="17">
        <f t="shared" si="2"/>
        <v>22</v>
      </c>
      <c r="M31" s="17">
        <f t="shared" si="3"/>
        <v>16</v>
      </c>
      <c r="N31" s="16">
        <f t="shared" si="4"/>
        <v>3.0958246511385541</v>
      </c>
      <c r="O31" s="16">
        <f t="shared" si="5"/>
        <v>2.7764359010777868</v>
      </c>
      <c r="Q31" s="8"/>
      <c r="R31" s="9" t="s">
        <v>1</v>
      </c>
      <c r="S31" s="10" t="s">
        <v>18</v>
      </c>
      <c r="T31" s="1" t="s">
        <v>1</v>
      </c>
      <c r="U31" s="9" t="s">
        <v>18</v>
      </c>
    </row>
    <row r="32" spans="1:21" x14ac:dyDescent="0.25">
      <c r="A32">
        <v>30</v>
      </c>
      <c r="B32" s="27">
        <v>10</v>
      </c>
      <c r="C32" s="27">
        <v>28</v>
      </c>
      <c r="D32">
        <v>0</v>
      </c>
      <c r="E32">
        <v>1</v>
      </c>
      <c r="G32">
        <v>30</v>
      </c>
      <c r="H32" s="16">
        <f t="shared" si="0"/>
        <v>2.3052380778996162</v>
      </c>
      <c r="I32" s="16">
        <f t="shared" si="1"/>
        <v>3.3377624753350124</v>
      </c>
      <c r="K32">
        <v>30</v>
      </c>
      <c r="L32" s="17">
        <f t="shared" si="2"/>
        <v>17</v>
      </c>
      <c r="M32" s="17">
        <f t="shared" si="3"/>
        <v>21</v>
      </c>
      <c r="N32" s="16">
        <f t="shared" si="4"/>
        <v>2.8372306860824343</v>
      </c>
      <c r="O32" s="16">
        <f t="shared" si="5"/>
        <v>3.0491617030814462</v>
      </c>
      <c r="Q32" s="7" t="s">
        <v>17</v>
      </c>
      <c r="R32" s="18">
        <f>AVERAGE(H3:H32)</f>
        <v>2.9591701962753669</v>
      </c>
      <c r="S32" s="19">
        <f>AVERAGE(N3:N32)</f>
        <v>3.0486847565506809</v>
      </c>
      <c r="T32" s="18">
        <f>1/2*((R6^(1-T4)-1)/(1-T4)+(R7^(1-T4)-1)/(1-T4))</f>
        <v>2.8215002766173143</v>
      </c>
      <c r="U32" s="19">
        <f>1/4*(((R6)^(1-T4)-1)/(1-T4)+((R6+T11)^(1-T4)-1)/(1-T4)+((R7-T10)^(1-T4)-1)/(1-T4)+((R7-T10+T11)^(1-T4)-1)/(1-T4))</f>
        <v>2.9028162386299767</v>
      </c>
    </row>
    <row r="33" spans="6:21" x14ac:dyDescent="0.25">
      <c r="Q33" s="8" t="s">
        <v>16</v>
      </c>
      <c r="R33" s="20">
        <f>AVERAGE(I3:I32)</f>
        <v>2.924752716360854</v>
      </c>
      <c r="S33" s="21">
        <f>AVERAGE(O3:O32)</f>
        <v>2.9842919155760668</v>
      </c>
      <c r="T33" s="20">
        <f>1/2*((T6^(1-T4)-1)/(1-T4)+(T7^(1-T4)-1)/(1-T4))</f>
        <v>2.8215002766173143</v>
      </c>
      <c r="U33" s="22">
        <f>1/4*(((T6)^(1-T4)-1)/(1-T4)+((T6+T10)^(1-T4)-1)/(1-T4)+((T7-T11)^(1-T4)-1)/(1-T4)+((T7-T11+T10)^(1-T4)-1)/(1-T4))</f>
        <v>2.858027447541708</v>
      </c>
    </row>
    <row r="34" spans="6:21" x14ac:dyDescent="0.25">
      <c r="G34" t="s">
        <v>43</v>
      </c>
    </row>
    <row r="35" spans="6:21" x14ac:dyDescent="0.25">
      <c r="F35" s="3"/>
    </row>
    <row r="36" spans="6:21" x14ac:dyDescent="0.25">
      <c r="F36" s="3"/>
      <c r="G36" s="11"/>
    </row>
    <row r="37" spans="6:21" x14ac:dyDescent="0.25">
      <c r="F37" s="3"/>
    </row>
    <row r="38" spans="6:21" x14ac:dyDescent="0.25">
      <c r="F38" s="3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diosyncratic">
                <anchor moveWithCells="1" sizeWithCells="1">
                  <from>
                    <xdr:col>16</xdr:col>
                    <xdr:colOff>9525</xdr:colOff>
                    <xdr:row>14</xdr:row>
                    <xdr:rowOff>9525</xdr:rowOff>
                  </from>
                  <to>
                    <xdr:col>18</xdr:col>
                    <xdr:colOff>600075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U38"/>
  <sheetViews>
    <sheetView zoomScale="90" zoomScaleNormal="90" zoomScalePageLayoutView="90" workbookViewId="0">
      <selection activeCell="P13" sqref="P13"/>
    </sheetView>
  </sheetViews>
  <sheetFormatPr defaultColWidth="11" defaultRowHeight="15.75" x14ac:dyDescent="0.25"/>
  <cols>
    <col min="1" max="1" width="12" customWidth="1"/>
    <col min="2" max="2" width="11" customWidth="1"/>
  </cols>
  <sheetData>
    <row r="1" spans="1:21" x14ac:dyDescent="0.25">
      <c r="A1" t="s">
        <v>28</v>
      </c>
      <c r="G1" t="s">
        <v>30</v>
      </c>
      <c r="K1" t="s">
        <v>29</v>
      </c>
      <c r="Q1" t="s">
        <v>13</v>
      </c>
    </row>
    <row r="2" spans="1:21" x14ac:dyDescent="0.25">
      <c r="A2" t="s">
        <v>0</v>
      </c>
      <c r="B2" t="s">
        <v>23</v>
      </c>
      <c r="C2" t="s">
        <v>22</v>
      </c>
      <c r="D2" t="s">
        <v>46</v>
      </c>
      <c r="E2" t="s">
        <v>47</v>
      </c>
      <c r="G2" t="s">
        <v>0</v>
      </c>
      <c r="H2" t="s">
        <v>25</v>
      </c>
      <c r="I2" t="s">
        <v>24</v>
      </c>
      <c r="K2" t="s">
        <v>0</v>
      </c>
      <c r="L2" t="s">
        <v>56</v>
      </c>
      <c r="M2" t="s">
        <v>57</v>
      </c>
      <c r="N2" t="s">
        <v>26</v>
      </c>
      <c r="O2" t="s">
        <v>27</v>
      </c>
      <c r="Q2" t="s">
        <v>2</v>
      </c>
    </row>
    <row r="3" spans="1:21" x14ac:dyDescent="0.25">
      <c r="A3">
        <v>1</v>
      </c>
      <c r="B3" s="27">
        <v>28</v>
      </c>
      <c r="C3" s="27">
        <v>10</v>
      </c>
      <c r="D3">
        <v>1</v>
      </c>
      <c r="E3">
        <v>0</v>
      </c>
      <c r="G3">
        <v>1</v>
      </c>
      <c r="H3" s="16">
        <f t="shared" ref="H3:H32" si="0">(POWER(B3, 1-$R$4)-1)/(1-$R$4)</f>
        <v>3.3377624753350124</v>
      </c>
      <c r="I3" s="17">
        <f t="shared" ref="I3:I32" si="1">(POWER(C3, 1-$T$4)-1)/(1-$T$4)</f>
        <v>8.985986624850387</v>
      </c>
      <c r="K3">
        <v>1</v>
      </c>
      <c r="L3" s="17">
        <f>B3-D3*$T$10+E3*$T$11</f>
        <v>22</v>
      </c>
      <c r="M3" s="17">
        <f>C3+D3*$T$10-E3*$T$11</f>
        <v>16</v>
      </c>
      <c r="N3" s="16">
        <f>(POWER(B3-D3*$T$10+E3*$T$11, 1-$R$4)-1)/(1-$R$4)</f>
        <v>3.0958246511385541</v>
      </c>
      <c r="O3" s="17">
        <f>(POWER(C3+D3*$T$10-E3*$T$11, 1-$T$4)-1)/(1-$T$4)</f>
        <v>14.970670692325438</v>
      </c>
      <c r="Q3" t="s">
        <v>14</v>
      </c>
      <c r="S3" t="s">
        <v>15</v>
      </c>
    </row>
    <row r="4" spans="1:21" x14ac:dyDescent="0.25">
      <c r="A4">
        <v>2</v>
      </c>
      <c r="B4" s="27">
        <v>28</v>
      </c>
      <c r="C4" s="27">
        <v>28</v>
      </c>
      <c r="D4">
        <v>1</v>
      </c>
      <c r="E4">
        <v>1</v>
      </c>
      <c r="G4">
        <v>2</v>
      </c>
      <c r="H4" s="16">
        <f t="shared" si="0"/>
        <v>3.3377624753350124</v>
      </c>
      <c r="I4" s="17">
        <f t="shared" si="1"/>
        <v>26.933787338750172</v>
      </c>
      <c r="K4">
        <v>2</v>
      </c>
      <c r="L4" s="17">
        <f t="shared" ref="L4:L32" si="2">B4-D4*$T$10+E4*$T$11</f>
        <v>29</v>
      </c>
      <c r="M4" s="17">
        <f t="shared" ref="M4:M32" si="3">C4+D4*$T$10-E4*$T$11</f>
        <v>27</v>
      </c>
      <c r="N4" s="16">
        <f t="shared" ref="N4:N6" si="4">(POWER(B4-D4*$T$10+E4*$T$11, 1-$R$4)-1)/(1-$R$4)</f>
        <v>3.3729715393993023</v>
      </c>
      <c r="O4" s="17">
        <f>(POWER(C4+D4*$T$10-E4*$T$11, 1-$T$4)-1)/(1-$T$4)</f>
        <v>25.937095983927971</v>
      </c>
      <c r="Q4" t="s">
        <v>3</v>
      </c>
      <c r="R4" s="12">
        <v>0.999</v>
      </c>
      <c r="S4" t="s">
        <v>3</v>
      </c>
      <c r="T4" s="13">
        <v>1E-3</v>
      </c>
      <c r="U4" t="s">
        <v>9</v>
      </c>
    </row>
    <row r="5" spans="1:21" x14ac:dyDescent="0.25">
      <c r="A5">
        <v>3</v>
      </c>
      <c r="B5" s="27">
        <v>10</v>
      </c>
      <c r="C5" s="27">
        <v>28</v>
      </c>
      <c r="D5">
        <v>0</v>
      </c>
      <c r="E5">
        <v>1</v>
      </c>
      <c r="G5">
        <v>3</v>
      </c>
      <c r="H5" s="16">
        <f t="shared" si="0"/>
        <v>2.3052380778996162</v>
      </c>
      <c r="I5" s="17">
        <f t="shared" si="1"/>
        <v>26.933787338750172</v>
      </c>
      <c r="K5">
        <v>3</v>
      </c>
      <c r="L5" s="17">
        <f t="shared" si="2"/>
        <v>17</v>
      </c>
      <c r="M5" s="17">
        <f t="shared" si="3"/>
        <v>21</v>
      </c>
      <c r="N5" s="16">
        <f t="shared" si="4"/>
        <v>2.8372306860824343</v>
      </c>
      <c r="O5" s="17">
        <f t="shared" ref="O5:O32" si="5">(POWER(C5+D5*$T$10-E5*$T$11, 1-$T$4)-1)/(1-$T$4)</f>
        <v>19.95611837421421</v>
      </c>
      <c r="R5" s="12"/>
      <c r="T5" s="13"/>
    </row>
    <row r="6" spans="1:21" x14ac:dyDescent="0.25">
      <c r="A6">
        <v>4</v>
      </c>
      <c r="B6" s="27">
        <v>28</v>
      </c>
      <c r="C6" s="27">
        <v>10</v>
      </c>
      <c r="D6">
        <v>1</v>
      </c>
      <c r="E6">
        <v>0</v>
      </c>
      <c r="G6">
        <v>4</v>
      </c>
      <c r="H6" s="16">
        <f t="shared" si="0"/>
        <v>3.3377624753350124</v>
      </c>
      <c r="I6" s="17">
        <f t="shared" si="1"/>
        <v>8.985986624850387</v>
      </c>
      <c r="K6">
        <v>4</v>
      </c>
      <c r="L6" s="17">
        <f t="shared" si="2"/>
        <v>22</v>
      </c>
      <c r="M6" s="17">
        <f t="shared" si="3"/>
        <v>16</v>
      </c>
      <c r="N6" s="16">
        <f t="shared" si="4"/>
        <v>3.0958246511385541</v>
      </c>
      <c r="O6" s="17">
        <f t="shared" si="5"/>
        <v>14.970670692325438</v>
      </c>
      <c r="Q6" t="s">
        <v>31</v>
      </c>
      <c r="R6" s="12">
        <v>10</v>
      </c>
      <c r="T6" s="13">
        <v>10</v>
      </c>
      <c r="U6" t="s">
        <v>33</v>
      </c>
    </row>
    <row r="7" spans="1:21" x14ac:dyDescent="0.25">
      <c r="A7">
        <v>5</v>
      </c>
      <c r="B7" s="27">
        <v>10</v>
      </c>
      <c r="C7" s="27">
        <v>28</v>
      </c>
      <c r="D7">
        <v>0</v>
      </c>
      <c r="E7">
        <v>1</v>
      </c>
      <c r="G7">
        <v>5</v>
      </c>
      <c r="H7" s="16">
        <f t="shared" si="0"/>
        <v>2.3052380778996162</v>
      </c>
      <c r="I7" s="17">
        <f t="shared" si="1"/>
        <v>26.933787338750172</v>
      </c>
      <c r="K7">
        <v>5</v>
      </c>
      <c r="L7" s="17">
        <f t="shared" si="2"/>
        <v>17</v>
      </c>
      <c r="M7" s="17">
        <f t="shared" si="3"/>
        <v>21</v>
      </c>
      <c r="N7" s="16">
        <f t="shared" ref="N7:N32" si="6">(POWER(B7-D7*$T$10+E7*$T$11, 1-$R$4)-1)/(1-$R$4)</f>
        <v>2.8372306860824343</v>
      </c>
      <c r="O7" s="17">
        <f t="shared" si="5"/>
        <v>19.95611837421421</v>
      </c>
      <c r="Q7" t="s">
        <v>32</v>
      </c>
      <c r="R7" s="12">
        <v>28</v>
      </c>
      <c r="T7" s="13">
        <v>28</v>
      </c>
      <c r="U7" t="s">
        <v>34</v>
      </c>
    </row>
    <row r="8" spans="1:21" x14ac:dyDescent="0.25">
      <c r="A8">
        <v>6</v>
      </c>
      <c r="B8" s="27">
        <v>10</v>
      </c>
      <c r="C8" s="27">
        <v>10</v>
      </c>
      <c r="D8">
        <v>0</v>
      </c>
      <c r="E8">
        <v>0</v>
      </c>
      <c r="G8">
        <v>6</v>
      </c>
      <c r="H8" s="16">
        <f t="shared" si="0"/>
        <v>2.3052380778996162</v>
      </c>
      <c r="I8" s="17">
        <f t="shared" si="1"/>
        <v>8.985986624850387</v>
      </c>
      <c r="K8">
        <v>6</v>
      </c>
      <c r="L8" s="17">
        <f t="shared" si="2"/>
        <v>10</v>
      </c>
      <c r="M8" s="17">
        <f t="shared" si="3"/>
        <v>10</v>
      </c>
      <c r="N8" s="16">
        <f t="shared" si="6"/>
        <v>2.3052380778996162</v>
      </c>
      <c r="O8" s="17">
        <f t="shared" si="5"/>
        <v>8.985986624850387</v>
      </c>
      <c r="Q8" t="s">
        <v>10</v>
      </c>
      <c r="R8" t="s">
        <v>4</v>
      </c>
      <c r="S8" t="s">
        <v>10</v>
      </c>
      <c r="T8" t="s">
        <v>5</v>
      </c>
    </row>
    <row r="9" spans="1:21" x14ac:dyDescent="0.25">
      <c r="A9">
        <v>7</v>
      </c>
      <c r="B9" s="27">
        <v>10</v>
      </c>
      <c r="C9" s="27">
        <v>10</v>
      </c>
      <c r="D9">
        <v>0</v>
      </c>
      <c r="E9">
        <v>0</v>
      </c>
      <c r="G9">
        <v>7</v>
      </c>
      <c r="H9" s="16">
        <f t="shared" si="0"/>
        <v>2.3052380778996162</v>
      </c>
      <c r="I9" s="17">
        <f t="shared" si="1"/>
        <v>8.985986624850387</v>
      </c>
      <c r="K9">
        <v>7</v>
      </c>
      <c r="L9" s="17">
        <f t="shared" si="2"/>
        <v>10</v>
      </c>
      <c r="M9" s="17">
        <f t="shared" si="3"/>
        <v>10</v>
      </c>
      <c r="N9" s="16">
        <f t="shared" si="6"/>
        <v>2.3052380778996162</v>
      </c>
      <c r="O9" s="17">
        <f t="shared" si="5"/>
        <v>8.985986624850387</v>
      </c>
      <c r="R9" t="s">
        <v>11</v>
      </c>
      <c r="T9" t="s">
        <v>12</v>
      </c>
    </row>
    <row r="10" spans="1:21" x14ac:dyDescent="0.25">
      <c r="A10">
        <v>8</v>
      </c>
      <c r="B10" s="27">
        <v>28</v>
      </c>
      <c r="C10" s="27">
        <v>28</v>
      </c>
      <c r="D10">
        <v>1</v>
      </c>
      <c r="E10">
        <v>1</v>
      </c>
      <c r="G10">
        <v>8</v>
      </c>
      <c r="H10" s="16">
        <f t="shared" si="0"/>
        <v>3.3377624753350124</v>
      </c>
      <c r="I10" s="17">
        <f t="shared" si="1"/>
        <v>26.933787338750172</v>
      </c>
      <c r="K10">
        <v>8</v>
      </c>
      <c r="L10" s="17">
        <f t="shared" si="2"/>
        <v>29</v>
      </c>
      <c r="M10" s="17">
        <f t="shared" si="3"/>
        <v>27</v>
      </c>
      <c r="N10" s="16">
        <f t="shared" si="6"/>
        <v>3.3729715393993023</v>
      </c>
      <c r="O10" s="17">
        <f t="shared" si="5"/>
        <v>25.937095983927971</v>
      </c>
      <c r="Q10" t="s">
        <v>36</v>
      </c>
      <c r="T10" s="15">
        <v>6</v>
      </c>
    </row>
    <row r="11" spans="1:21" x14ac:dyDescent="0.25">
      <c r="A11">
        <v>9</v>
      </c>
      <c r="B11" s="27">
        <v>28</v>
      </c>
      <c r="C11" s="27">
        <v>28</v>
      </c>
      <c r="D11">
        <v>1</v>
      </c>
      <c r="E11">
        <v>1</v>
      </c>
      <c r="G11">
        <v>9</v>
      </c>
      <c r="H11" s="16">
        <f t="shared" si="0"/>
        <v>3.3377624753350124</v>
      </c>
      <c r="I11" s="17">
        <f t="shared" si="1"/>
        <v>26.933787338750172</v>
      </c>
      <c r="K11">
        <v>9</v>
      </c>
      <c r="L11" s="17">
        <f t="shared" si="2"/>
        <v>29</v>
      </c>
      <c r="M11" s="17">
        <f t="shared" si="3"/>
        <v>27</v>
      </c>
      <c r="N11" s="16">
        <f t="shared" si="6"/>
        <v>3.3729715393993023</v>
      </c>
      <c r="O11" s="17">
        <f t="shared" si="5"/>
        <v>25.937095983927971</v>
      </c>
      <c r="Q11" t="s">
        <v>51</v>
      </c>
      <c r="T11" s="15">
        <v>7</v>
      </c>
    </row>
    <row r="12" spans="1:21" x14ac:dyDescent="0.25">
      <c r="A12">
        <v>10</v>
      </c>
      <c r="B12" s="27">
        <v>28</v>
      </c>
      <c r="C12" s="27">
        <v>10</v>
      </c>
      <c r="D12">
        <v>1</v>
      </c>
      <c r="E12">
        <v>0</v>
      </c>
      <c r="G12">
        <v>10</v>
      </c>
      <c r="H12" s="16">
        <f t="shared" si="0"/>
        <v>3.3377624753350124</v>
      </c>
      <c r="I12" s="17">
        <f t="shared" si="1"/>
        <v>8.985986624850387</v>
      </c>
      <c r="K12">
        <v>10</v>
      </c>
      <c r="L12" s="17">
        <f t="shared" si="2"/>
        <v>22</v>
      </c>
      <c r="M12" s="17">
        <f t="shared" si="3"/>
        <v>16</v>
      </c>
      <c r="N12" s="16">
        <f t="shared" si="6"/>
        <v>3.0958246511385541</v>
      </c>
      <c r="O12" s="17">
        <f t="shared" si="5"/>
        <v>14.970670692325438</v>
      </c>
    </row>
    <row r="13" spans="1:21" x14ac:dyDescent="0.25">
      <c r="A13">
        <v>11</v>
      </c>
      <c r="B13" s="27">
        <v>10</v>
      </c>
      <c r="C13" s="27">
        <v>10</v>
      </c>
      <c r="D13">
        <v>0</v>
      </c>
      <c r="E13">
        <v>0</v>
      </c>
      <c r="G13">
        <v>11</v>
      </c>
      <c r="H13" s="16">
        <f t="shared" si="0"/>
        <v>2.3052380778996162</v>
      </c>
      <c r="I13" s="17">
        <f t="shared" si="1"/>
        <v>8.985986624850387</v>
      </c>
      <c r="K13">
        <v>11</v>
      </c>
      <c r="L13" s="17">
        <f t="shared" si="2"/>
        <v>10</v>
      </c>
      <c r="M13" s="17">
        <f t="shared" si="3"/>
        <v>10</v>
      </c>
      <c r="N13" s="16">
        <f t="shared" si="6"/>
        <v>2.3052380778996162</v>
      </c>
      <c r="O13" s="17">
        <f t="shared" si="5"/>
        <v>8.985986624850387</v>
      </c>
    </row>
    <row r="14" spans="1:21" x14ac:dyDescent="0.25">
      <c r="A14">
        <v>12</v>
      </c>
      <c r="B14" s="27">
        <v>28</v>
      </c>
      <c r="C14" s="27">
        <v>28</v>
      </c>
      <c r="D14">
        <v>1</v>
      </c>
      <c r="E14">
        <v>1</v>
      </c>
      <c r="G14">
        <v>12</v>
      </c>
      <c r="H14" s="16">
        <f t="shared" si="0"/>
        <v>3.3377624753350124</v>
      </c>
      <c r="I14" s="17">
        <f t="shared" si="1"/>
        <v>26.933787338750172</v>
      </c>
      <c r="K14">
        <v>12</v>
      </c>
      <c r="L14" s="17">
        <f t="shared" si="2"/>
        <v>29</v>
      </c>
      <c r="M14" s="17">
        <f t="shared" si="3"/>
        <v>27</v>
      </c>
      <c r="N14" s="16">
        <f t="shared" si="6"/>
        <v>3.3729715393993023</v>
      </c>
      <c r="O14" s="17">
        <f t="shared" si="5"/>
        <v>25.937095983927971</v>
      </c>
      <c r="Q14" t="s">
        <v>40</v>
      </c>
    </row>
    <row r="15" spans="1:21" x14ac:dyDescent="0.25">
      <c r="A15">
        <v>13</v>
      </c>
      <c r="B15" s="27">
        <v>10</v>
      </c>
      <c r="C15" s="27">
        <v>28</v>
      </c>
      <c r="D15">
        <v>0</v>
      </c>
      <c r="E15">
        <v>1</v>
      </c>
      <c r="G15">
        <v>13</v>
      </c>
      <c r="H15" s="16">
        <f t="shared" si="0"/>
        <v>2.3052380778996162</v>
      </c>
      <c r="I15" s="17">
        <f t="shared" si="1"/>
        <v>26.933787338750172</v>
      </c>
      <c r="K15">
        <v>13</v>
      </c>
      <c r="L15" s="17">
        <f t="shared" si="2"/>
        <v>17</v>
      </c>
      <c r="M15" s="17">
        <f t="shared" si="3"/>
        <v>21</v>
      </c>
      <c r="N15" s="16">
        <f t="shared" si="6"/>
        <v>2.8372306860824343</v>
      </c>
      <c r="O15" s="17">
        <f t="shared" si="5"/>
        <v>19.95611837421421</v>
      </c>
    </row>
    <row r="16" spans="1:21" x14ac:dyDescent="0.25">
      <c r="A16">
        <v>14</v>
      </c>
      <c r="B16" s="27">
        <v>28</v>
      </c>
      <c r="C16" s="27">
        <v>28</v>
      </c>
      <c r="D16">
        <v>1</v>
      </c>
      <c r="E16">
        <v>1</v>
      </c>
      <c r="G16">
        <v>14</v>
      </c>
      <c r="H16" s="16">
        <f t="shared" si="0"/>
        <v>3.3377624753350124</v>
      </c>
      <c r="I16" s="17">
        <f t="shared" si="1"/>
        <v>26.933787338750172</v>
      </c>
      <c r="K16">
        <v>14</v>
      </c>
      <c r="L16" s="17">
        <f t="shared" si="2"/>
        <v>29</v>
      </c>
      <c r="M16" s="17">
        <f t="shared" si="3"/>
        <v>27</v>
      </c>
      <c r="N16" s="16">
        <f t="shared" si="6"/>
        <v>3.3729715393993023</v>
      </c>
      <c r="O16" s="17">
        <f t="shared" si="5"/>
        <v>25.937095983927971</v>
      </c>
    </row>
    <row r="17" spans="1:21" x14ac:dyDescent="0.25">
      <c r="A17">
        <v>15</v>
      </c>
      <c r="B17" s="27">
        <v>10</v>
      </c>
      <c r="C17" s="27">
        <v>10</v>
      </c>
      <c r="D17">
        <v>0</v>
      </c>
      <c r="E17">
        <v>0</v>
      </c>
      <c r="G17">
        <v>15</v>
      </c>
      <c r="H17" s="16">
        <f t="shared" si="0"/>
        <v>2.3052380778996162</v>
      </c>
      <c r="I17" s="17">
        <f t="shared" si="1"/>
        <v>8.985986624850387</v>
      </c>
      <c r="K17">
        <v>15</v>
      </c>
      <c r="L17" s="17">
        <f t="shared" si="2"/>
        <v>10</v>
      </c>
      <c r="M17" s="17">
        <f t="shared" si="3"/>
        <v>10</v>
      </c>
      <c r="N17" s="16">
        <f t="shared" si="6"/>
        <v>2.3052380778996162</v>
      </c>
      <c r="O17" s="17">
        <f t="shared" si="5"/>
        <v>8.985986624850387</v>
      </c>
    </row>
    <row r="18" spans="1:21" x14ac:dyDescent="0.25">
      <c r="A18">
        <v>16</v>
      </c>
      <c r="B18" s="27">
        <v>10</v>
      </c>
      <c r="C18" s="27">
        <v>28</v>
      </c>
      <c r="D18">
        <v>0</v>
      </c>
      <c r="E18">
        <v>1</v>
      </c>
      <c r="G18">
        <v>16</v>
      </c>
      <c r="H18" s="16">
        <f t="shared" si="0"/>
        <v>2.3052380778996162</v>
      </c>
      <c r="I18" s="17">
        <f t="shared" si="1"/>
        <v>26.933787338750172</v>
      </c>
      <c r="K18">
        <v>16</v>
      </c>
      <c r="L18" s="17">
        <f t="shared" si="2"/>
        <v>17</v>
      </c>
      <c r="M18" s="17">
        <f t="shared" si="3"/>
        <v>21</v>
      </c>
      <c r="N18" s="16">
        <f t="shared" si="6"/>
        <v>2.8372306860824343</v>
      </c>
      <c r="O18" s="17">
        <f t="shared" si="5"/>
        <v>19.95611837421421</v>
      </c>
      <c r="Q18" s="2"/>
      <c r="R18" s="10" t="s">
        <v>21</v>
      </c>
      <c r="S18" s="9"/>
    </row>
    <row r="19" spans="1:21" x14ac:dyDescent="0.25">
      <c r="A19">
        <v>17</v>
      </c>
      <c r="B19" s="27">
        <v>10</v>
      </c>
      <c r="C19" s="27">
        <v>10</v>
      </c>
      <c r="D19">
        <v>0</v>
      </c>
      <c r="E19">
        <v>0</v>
      </c>
      <c r="G19">
        <v>17</v>
      </c>
      <c r="H19" s="16">
        <f t="shared" si="0"/>
        <v>2.3052380778996162</v>
      </c>
      <c r="I19" s="17">
        <f t="shared" si="1"/>
        <v>8.985986624850387</v>
      </c>
      <c r="K19">
        <v>17</v>
      </c>
      <c r="L19" s="17">
        <f t="shared" si="2"/>
        <v>10</v>
      </c>
      <c r="M19" s="17">
        <f t="shared" si="3"/>
        <v>10</v>
      </c>
      <c r="N19" s="16">
        <f t="shared" si="6"/>
        <v>2.3052380778996162</v>
      </c>
      <c r="O19" s="17">
        <f t="shared" si="5"/>
        <v>8.985986624850387</v>
      </c>
      <c r="Q19" s="8"/>
      <c r="R19" s="1" t="s">
        <v>6</v>
      </c>
      <c r="S19" s="1" t="s">
        <v>7</v>
      </c>
    </row>
    <row r="20" spans="1:21" x14ac:dyDescent="0.25">
      <c r="A20">
        <v>18</v>
      </c>
      <c r="B20" s="27">
        <v>28</v>
      </c>
      <c r="C20" s="27">
        <v>10</v>
      </c>
      <c r="D20">
        <v>1</v>
      </c>
      <c r="E20">
        <v>0</v>
      </c>
      <c r="G20">
        <v>18</v>
      </c>
      <c r="H20" s="16">
        <f t="shared" si="0"/>
        <v>3.3377624753350124</v>
      </c>
      <c r="I20" s="17">
        <f t="shared" si="1"/>
        <v>8.985986624850387</v>
      </c>
      <c r="K20">
        <v>18</v>
      </c>
      <c r="L20" s="17">
        <f t="shared" si="2"/>
        <v>22</v>
      </c>
      <c r="M20" s="17">
        <f t="shared" si="3"/>
        <v>16</v>
      </c>
      <c r="N20" s="16">
        <f t="shared" si="6"/>
        <v>3.0958246511385541</v>
      </c>
      <c r="O20" s="17">
        <f t="shared" si="5"/>
        <v>14.970670692325438</v>
      </c>
      <c r="Q20" s="1" t="s">
        <v>39</v>
      </c>
      <c r="R20" s="1">
        <f>R7</f>
        <v>28</v>
      </c>
      <c r="S20" s="1">
        <f>R6</f>
        <v>10</v>
      </c>
    </row>
    <row r="21" spans="1:21" x14ac:dyDescent="0.25">
      <c r="A21">
        <v>19</v>
      </c>
      <c r="B21" s="27">
        <v>28</v>
      </c>
      <c r="C21" s="27">
        <v>28</v>
      </c>
      <c r="D21">
        <v>1</v>
      </c>
      <c r="E21">
        <v>1</v>
      </c>
      <c r="G21">
        <v>19</v>
      </c>
      <c r="H21" s="16">
        <f t="shared" si="0"/>
        <v>3.3377624753350124</v>
      </c>
      <c r="I21" s="17">
        <f t="shared" si="1"/>
        <v>26.933787338750172</v>
      </c>
      <c r="K21">
        <v>19</v>
      </c>
      <c r="L21" s="17">
        <f t="shared" si="2"/>
        <v>29</v>
      </c>
      <c r="M21" s="17">
        <f t="shared" si="3"/>
        <v>27</v>
      </c>
      <c r="N21" s="16">
        <f t="shared" si="6"/>
        <v>3.3729715393993023</v>
      </c>
      <c r="O21" s="17">
        <f t="shared" si="5"/>
        <v>25.937095983927971</v>
      </c>
      <c r="Q21" s="1" t="s">
        <v>38</v>
      </c>
      <c r="R21" s="1">
        <f>T7</f>
        <v>28</v>
      </c>
      <c r="S21" s="1">
        <f>T6</f>
        <v>10</v>
      </c>
    </row>
    <row r="22" spans="1:21" x14ac:dyDescent="0.25">
      <c r="A22">
        <v>20</v>
      </c>
      <c r="B22" s="27">
        <v>28</v>
      </c>
      <c r="C22" s="27">
        <v>28</v>
      </c>
      <c r="D22">
        <v>1</v>
      </c>
      <c r="E22">
        <v>1</v>
      </c>
      <c r="G22">
        <v>20</v>
      </c>
      <c r="H22" s="16">
        <f t="shared" si="0"/>
        <v>3.3377624753350124</v>
      </c>
      <c r="I22" s="17">
        <f t="shared" si="1"/>
        <v>26.933787338750172</v>
      </c>
      <c r="K22">
        <v>20</v>
      </c>
      <c r="L22" s="17">
        <f t="shared" si="2"/>
        <v>29</v>
      </c>
      <c r="M22" s="17">
        <f t="shared" si="3"/>
        <v>27</v>
      </c>
      <c r="N22" s="16">
        <f t="shared" si="6"/>
        <v>3.3729715393993023</v>
      </c>
      <c r="O22" s="17">
        <f t="shared" si="5"/>
        <v>25.937095983927971</v>
      </c>
    </row>
    <row r="23" spans="1:21" x14ac:dyDescent="0.25">
      <c r="A23">
        <v>21</v>
      </c>
      <c r="B23" s="27">
        <v>28</v>
      </c>
      <c r="C23" s="27">
        <v>28</v>
      </c>
      <c r="D23">
        <v>1</v>
      </c>
      <c r="E23">
        <v>1</v>
      </c>
      <c r="G23">
        <v>21</v>
      </c>
      <c r="H23" s="16">
        <f t="shared" si="0"/>
        <v>3.3377624753350124</v>
      </c>
      <c r="I23" s="17">
        <f t="shared" si="1"/>
        <v>26.933787338750172</v>
      </c>
      <c r="K23">
        <v>21</v>
      </c>
      <c r="L23" s="17">
        <f t="shared" si="2"/>
        <v>29</v>
      </c>
      <c r="M23" s="17">
        <f t="shared" si="3"/>
        <v>27</v>
      </c>
      <c r="N23" s="16">
        <f t="shared" si="6"/>
        <v>3.3729715393993023</v>
      </c>
      <c r="O23" s="17">
        <f t="shared" si="5"/>
        <v>25.937095983927971</v>
      </c>
      <c r="Q23" t="s">
        <v>41</v>
      </c>
      <c r="S23">
        <f>AVERAGE(D3:D32)</f>
        <v>0.6</v>
      </c>
    </row>
    <row r="24" spans="1:21" x14ac:dyDescent="0.25">
      <c r="A24">
        <v>22</v>
      </c>
      <c r="B24" s="27">
        <v>28</v>
      </c>
      <c r="C24" s="27">
        <v>10</v>
      </c>
      <c r="D24">
        <v>1</v>
      </c>
      <c r="E24">
        <v>0</v>
      </c>
      <c r="G24">
        <v>22</v>
      </c>
      <c r="H24" s="16">
        <f t="shared" si="0"/>
        <v>3.3377624753350124</v>
      </c>
      <c r="I24" s="17">
        <f t="shared" si="1"/>
        <v>8.985986624850387</v>
      </c>
      <c r="K24">
        <v>22</v>
      </c>
      <c r="L24" s="17">
        <f t="shared" si="2"/>
        <v>22</v>
      </c>
      <c r="M24" s="17">
        <f t="shared" si="3"/>
        <v>16</v>
      </c>
      <c r="N24" s="16">
        <f t="shared" si="6"/>
        <v>3.0958246511385541</v>
      </c>
      <c r="O24" s="17">
        <f t="shared" si="5"/>
        <v>14.970670692325438</v>
      </c>
      <c r="Q24" t="s">
        <v>49</v>
      </c>
    </row>
    <row r="25" spans="1:21" x14ac:dyDescent="0.25">
      <c r="A25">
        <v>23</v>
      </c>
      <c r="B25" s="27">
        <v>10</v>
      </c>
      <c r="C25" s="27">
        <v>10</v>
      </c>
      <c r="D25">
        <v>0</v>
      </c>
      <c r="E25">
        <v>0</v>
      </c>
      <c r="G25">
        <v>23</v>
      </c>
      <c r="H25" s="16">
        <f t="shared" si="0"/>
        <v>2.3052380778996162</v>
      </c>
      <c r="I25" s="17">
        <f t="shared" si="1"/>
        <v>8.985986624850387</v>
      </c>
      <c r="K25">
        <v>23</v>
      </c>
      <c r="L25" s="17">
        <f t="shared" si="2"/>
        <v>10</v>
      </c>
      <c r="M25" s="17">
        <f t="shared" si="3"/>
        <v>10</v>
      </c>
      <c r="N25" s="16">
        <f t="shared" si="6"/>
        <v>2.3052380778996162</v>
      </c>
      <c r="O25" s="17">
        <f t="shared" si="5"/>
        <v>8.985986624850387</v>
      </c>
    </row>
    <row r="26" spans="1:21" x14ac:dyDescent="0.25">
      <c r="A26">
        <v>24</v>
      </c>
      <c r="B26" s="27">
        <v>28</v>
      </c>
      <c r="C26" s="27">
        <v>10</v>
      </c>
      <c r="D26">
        <v>1</v>
      </c>
      <c r="E26">
        <v>0</v>
      </c>
      <c r="G26">
        <v>24</v>
      </c>
      <c r="H26" s="16">
        <f t="shared" si="0"/>
        <v>3.3377624753350124</v>
      </c>
      <c r="I26" s="17">
        <f t="shared" si="1"/>
        <v>8.985986624850387</v>
      </c>
      <c r="K26">
        <v>24</v>
      </c>
      <c r="L26" s="17">
        <f t="shared" si="2"/>
        <v>22</v>
      </c>
      <c r="M26" s="17">
        <f t="shared" si="3"/>
        <v>16</v>
      </c>
      <c r="N26" s="16">
        <f t="shared" si="6"/>
        <v>3.0958246511385541</v>
      </c>
      <c r="O26" s="17">
        <f t="shared" si="5"/>
        <v>14.970670692325438</v>
      </c>
      <c r="Q26" t="s">
        <v>41</v>
      </c>
      <c r="S26">
        <f>AVERAGE(E3:E32)</f>
        <v>0.5</v>
      </c>
    </row>
    <row r="27" spans="1:21" x14ac:dyDescent="0.25">
      <c r="A27">
        <v>25</v>
      </c>
      <c r="B27" s="27">
        <v>10</v>
      </c>
      <c r="C27" s="27">
        <v>28</v>
      </c>
      <c r="D27">
        <v>0</v>
      </c>
      <c r="E27">
        <v>1</v>
      </c>
      <c r="G27">
        <v>25</v>
      </c>
      <c r="H27" s="16">
        <f t="shared" si="0"/>
        <v>2.3052380778996162</v>
      </c>
      <c r="I27" s="17">
        <f t="shared" si="1"/>
        <v>26.933787338750172</v>
      </c>
      <c r="K27">
        <v>25</v>
      </c>
      <c r="L27" s="17">
        <f t="shared" si="2"/>
        <v>17</v>
      </c>
      <c r="M27" s="17">
        <f t="shared" si="3"/>
        <v>21</v>
      </c>
      <c r="N27" s="16">
        <f t="shared" si="6"/>
        <v>2.8372306860824343</v>
      </c>
      <c r="O27" s="17">
        <f t="shared" si="5"/>
        <v>19.95611837421421</v>
      </c>
      <c r="Q27" t="s">
        <v>50</v>
      </c>
    </row>
    <row r="28" spans="1:21" x14ac:dyDescent="0.25">
      <c r="A28">
        <v>26</v>
      </c>
      <c r="B28" s="27">
        <v>10</v>
      </c>
      <c r="C28" s="27">
        <v>10</v>
      </c>
      <c r="D28">
        <v>0</v>
      </c>
      <c r="E28">
        <v>0</v>
      </c>
      <c r="G28">
        <v>26</v>
      </c>
      <c r="H28" s="16">
        <f t="shared" si="0"/>
        <v>2.3052380778996162</v>
      </c>
      <c r="I28" s="17">
        <f t="shared" si="1"/>
        <v>8.985986624850387</v>
      </c>
      <c r="K28">
        <v>26</v>
      </c>
      <c r="L28" s="17">
        <f t="shared" si="2"/>
        <v>10</v>
      </c>
      <c r="M28" s="17">
        <f t="shared" si="3"/>
        <v>10</v>
      </c>
      <c r="N28" s="16">
        <f>(POWER(B28-D28*$T$10+E28*$T$11, 1-$R$4)-1)/(1-$R$4)</f>
        <v>2.3052380778996162</v>
      </c>
      <c r="O28" s="17">
        <f t="shared" si="5"/>
        <v>8.985986624850387</v>
      </c>
    </row>
    <row r="29" spans="1:21" x14ac:dyDescent="0.25">
      <c r="A29">
        <v>27</v>
      </c>
      <c r="B29" s="27">
        <v>28</v>
      </c>
      <c r="C29" s="27">
        <v>10</v>
      </c>
      <c r="D29">
        <v>1</v>
      </c>
      <c r="E29">
        <v>0</v>
      </c>
      <c r="G29">
        <v>27</v>
      </c>
      <c r="H29" s="16">
        <f t="shared" si="0"/>
        <v>3.3377624753350124</v>
      </c>
      <c r="I29" s="17">
        <f t="shared" si="1"/>
        <v>8.985986624850387</v>
      </c>
      <c r="K29">
        <v>27</v>
      </c>
      <c r="L29" s="17">
        <f t="shared" si="2"/>
        <v>22</v>
      </c>
      <c r="M29" s="17">
        <f t="shared" si="3"/>
        <v>16</v>
      </c>
      <c r="N29" s="16">
        <f t="shared" si="6"/>
        <v>3.0958246511385541</v>
      </c>
      <c r="O29" s="17">
        <f t="shared" si="5"/>
        <v>14.970670692325438</v>
      </c>
      <c r="Q29" s="6" t="s">
        <v>35</v>
      </c>
      <c r="R29" s="6"/>
      <c r="S29" s="6"/>
    </row>
    <row r="30" spans="1:21" x14ac:dyDescent="0.25">
      <c r="A30">
        <v>28</v>
      </c>
      <c r="B30" s="27">
        <v>28</v>
      </c>
      <c r="C30" s="27">
        <v>10</v>
      </c>
      <c r="D30">
        <v>1</v>
      </c>
      <c r="E30">
        <v>0</v>
      </c>
      <c r="G30">
        <v>28</v>
      </c>
      <c r="H30" s="16">
        <f t="shared" si="0"/>
        <v>3.3377624753350124</v>
      </c>
      <c r="I30" s="17">
        <f t="shared" si="1"/>
        <v>8.985986624850387</v>
      </c>
      <c r="K30">
        <v>28</v>
      </c>
      <c r="L30" s="17">
        <f t="shared" si="2"/>
        <v>22</v>
      </c>
      <c r="M30" s="17">
        <f t="shared" si="3"/>
        <v>16</v>
      </c>
      <c r="N30" s="16">
        <f t="shared" si="6"/>
        <v>3.0958246511385541</v>
      </c>
      <c r="O30" s="17">
        <f t="shared" si="5"/>
        <v>14.970670692325438</v>
      </c>
      <c r="Q30" s="5"/>
      <c r="R30" t="s">
        <v>19</v>
      </c>
      <c r="T30" s="4" t="s">
        <v>20</v>
      </c>
      <c r="U30" s="5"/>
    </row>
    <row r="31" spans="1:21" x14ac:dyDescent="0.25">
      <c r="A31">
        <v>29</v>
      </c>
      <c r="B31" s="27">
        <v>28</v>
      </c>
      <c r="C31" s="27">
        <v>28</v>
      </c>
      <c r="D31">
        <v>1</v>
      </c>
      <c r="E31">
        <v>1</v>
      </c>
      <c r="G31">
        <v>29</v>
      </c>
      <c r="H31" s="16">
        <f t="shared" si="0"/>
        <v>3.3377624753350124</v>
      </c>
      <c r="I31" s="17">
        <f t="shared" si="1"/>
        <v>26.933787338750172</v>
      </c>
      <c r="K31">
        <v>29</v>
      </c>
      <c r="L31" s="17">
        <f t="shared" si="2"/>
        <v>29</v>
      </c>
      <c r="M31" s="17">
        <f t="shared" si="3"/>
        <v>27</v>
      </c>
      <c r="N31" s="16">
        <f t="shared" si="6"/>
        <v>3.3729715393993023</v>
      </c>
      <c r="O31" s="17">
        <f t="shared" si="5"/>
        <v>25.937095983927971</v>
      </c>
      <c r="Q31" s="8"/>
      <c r="R31" s="9" t="s">
        <v>1</v>
      </c>
      <c r="S31" s="9" t="s">
        <v>18</v>
      </c>
      <c r="T31" s="1" t="s">
        <v>1</v>
      </c>
      <c r="U31" s="9" t="s">
        <v>18</v>
      </c>
    </row>
    <row r="32" spans="1:21" x14ac:dyDescent="0.25">
      <c r="A32">
        <v>30</v>
      </c>
      <c r="B32" s="27">
        <v>28</v>
      </c>
      <c r="C32" s="27">
        <v>28</v>
      </c>
      <c r="D32">
        <v>1</v>
      </c>
      <c r="E32">
        <v>1</v>
      </c>
      <c r="G32">
        <v>30</v>
      </c>
      <c r="H32" s="16">
        <f t="shared" si="0"/>
        <v>3.3377624753350124</v>
      </c>
      <c r="I32" s="17">
        <f t="shared" si="1"/>
        <v>26.933787338750172</v>
      </c>
      <c r="K32">
        <v>30</v>
      </c>
      <c r="L32" s="17">
        <f t="shared" si="2"/>
        <v>29</v>
      </c>
      <c r="M32" s="17">
        <f t="shared" si="3"/>
        <v>27</v>
      </c>
      <c r="N32" s="16">
        <f t="shared" si="6"/>
        <v>3.3729715393993023</v>
      </c>
      <c r="O32" s="17">
        <f t="shared" si="5"/>
        <v>25.937095983927971</v>
      </c>
      <c r="Q32" s="7" t="s">
        <v>17</v>
      </c>
      <c r="R32" s="18">
        <f>AVERAGE(H3:H32)</f>
        <v>2.924752716360854</v>
      </c>
      <c r="S32" s="19">
        <f>AVERAGE(N3:N32)</f>
        <v>2.9606377526270315</v>
      </c>
      <c r="T32" s="18">
        <f>1/2*((R6^(1-R4)-1)/(1-R4)+(R7^(1-R4)-1)/(1-R4))</f>
        <v>2.8215002766173143</v>
      </c>
      <c r="U32" s="19">
        <f>1/4*(((R6)^(1-R4)-1)/(1-R4)+((R6+T11)^(1-R4)-1)/(1-R4)+((R7-T10)^(1-R4)-1)/(1-R4)+((R7-T10+T11)^(1-R4)-1)/(1-R4))</f>
        <v>2.9028162386299767</v>
      </c>
    </row>
    <row r="33" spans="6:21" x14ac:dyDescent="0.25">
      <c r="Q33" s="8" t="s">
        <v>16</v>
      </c>
      <c r="R33" s="24">
        <f>AVERAGE(I3:I32)</f>
        <v>17.959886981800285</v>
      </c>
      <c r="S33" s="26">
        <f>AVERAGE(O3:O32)</f>
        <v>18.060627454096899</v>
      </c>
      <c r="T33" s="24">
        <f>1/2*((T6^(1-T4)-1)/(1-T4)+(T7^(1-T4)-1)/(1-T4))</f>
        <v>17.959886981800281</v>
      </c>
      <c r="U33" s="25">
        <f>1/4*(((T6)^(1-T4)-1)/(1-T4)+((T6+T10)^(1-T4)-1)/(1-T4)+((T7-T11)^(1-T4)-1)/(1-T4)+((T7-T11+T10)^(1-T4)-1)/(1-T4))</f>
        <v>17.462467918829503</v>
      </c>
    </row>
    <row r="34" spans="6:21" x14ac:dyDescent="0.25">
      <c r="G34" t="s">
        <v>43</v>
      </c>
    </row>
    <row r="35" spans="6:21" x14ac:dyDescent="0.25">
      <c r="F35" s="3"/>
    </row>
    <row r="36" spans="6:21" x14ac:dyDescent="0.25">
      <c r="F36" s="3"/>
      <c r="G36" s="11"/>
    </row>
    <row r="37" spans="6:21" x14ac:dyDescent="0.25">
      <c r="F37" s="3"/>
    </row>
    <row r="38" spans="6:21" x14ac:dyDescent="0.25">
      <c r="F38" s="3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diosyncratic">
                <anchor moveWithCells="1" sizeWithCells="1">
                  <from>
                    <xdr:col>16</xdr:col>
                    <xdr:colOff>28575</xdr:colOff>
                    <xdr:row>15</xdr:row>
                    <xdr:rowOff>28575</xdr:rowOff>
                  </from>
                  <to>
                    <xdr:col>18</xdr:col>
                    <xdr:colOff>609600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Question 1</vt:lpstr>
      <vt:lpstr>Question 2</vt:lpstr>
      <vt:lpstr>Question 3</vt:lpstr>
      <vt:lpstr>Question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Catherine Huang</dc:creator>
  <cp:lastModifiedBy>Cheryl Siegel</cp:lastModifiedBy>
  <dcterms:created xsi:type="dcterms:W3CDTF">2020-02-04T02:40:44Z</dcterms:created>
  <dcterms:modified xsi:type="dcterms:W3CDTF">2022-08-15T18:13:17Z</dcterms:modified>
</cp:coreProperties>
</file>